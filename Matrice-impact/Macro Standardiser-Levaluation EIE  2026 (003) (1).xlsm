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aouij\Desktop\"/>
    </mc:Choice>
  </mc:AlternateContent>
  <xr:revisionPtr revIDLastSave="0" documentId="13_ncr:1_{8256D660-FFC8-4204-8E4C-3D041BFE6EDF}" xr6:coauthVersionLast="47" xr6:coauthVersionMax="47" xr10:uidLastSave="{00000000-0000-0000-0000-000000000000}"/>
  <bookViews>
    <workbookView xWindow="-110" yWindow="-110" windowWidth="19420" windowHeight="10300" firstSheet="1" activeTab="4" xr2:uid="{00000000-000D-0000-FFFF-FFFF00000000}"/>
  </bookViews>
  <sheets>
    <sheet name="PRE construction" sheetId="1" r:id="rId1"/>
    <sheet name="Réalisation" sheetId="7" r:id="rId2"/>
    <sheet name="Exploitation" sheetId="8" r:id="rId3"/>
    <sheet name="Démantalement  " sheetId="9" r:id="rId4"/>
    <sheet name="matrice d'impacts" sheetId="5" r:id="rId5"/>
    <sheet name="Sheet1" sheetId="10" r:id="rId6"/>
    <sheet name="Echelles" sheetId="3" r:id="rId7"/>
  </sheets>
  <externalReferences>
    <externalReference r:id="rId8"/>
  </externalReferences>
  <definedNames>
    <definedName name="_xlnm._FilterDatabase" localSheetId="2" hidden="1">Exploitation!$A$1:$P$54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" i="1" l="1"/>
  <c r="L23" i="1"/>
  <c r="O23" i="1"/>
  <c r="O54" i="9"/>
  <c r="O47" i="9"/>
  <c r="O40" i="9"/>
  <c r="O37" i="9"/>
  <c r="O23" i="9"/>
  <c r="X54" i="1"/>
  <c r="X47" i="1"/>
  <c r="X40" i="1"/>
  <c r="X37" i="1"/>
  <c r="X2" i="1"/>
  <c r="V5" i="5"/>
  <c r="V9" i="5"/>
  <c r="S9" i="5"/>
  <c r="V7" i="5"/>
  <c r="T7" i="5"/>
  <c r="S7" i="5"/>
  <c r="V6" i="5"/>
  <c r="T6" i="5"/>
  <c r="S6" i="5"/>
  <c r="T5" i="5"/>
  <c r="S5" i="5"/>
  <c r="G2" i="7"/>
  <c r="G3" i="7"/>
  <c r="G4" i="7"/>
  <c r="K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3" i="1"/>
  <c r="K4" i="1"/>
  <c r="G4" i="1"/>
  <c r="G2" i="1"/>
  <c r="G3" i="1"/>
  <c r="G56" i="1"/>
  <c r="I23" i="1" l="1"/>
  <c r="G13" i="7" l="1"/>
  <c r="G8" i="7"/>
  <c r="G14" i="7"/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U57" i="1" s="1"/>
  <c r="Q47" i="1"/>
  <c r="Q48" i="1"/>
  <c r="Q49" i="1"/>
  <c r="Q50" i="1"/>
  <c r="Q51" i="1"/>
  <c r="Q52" i="1"/>
  <c r="Q53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54" i="1"/>
  <c r="Q55" i="1"/>
  <c r="Q56" i="1"/>
  <c r="Q57" i="1"/>
  <c r="R57" i="1" s="1"/>
  <c r="Q58" i="1"/>
  <c r="R58" i="1" s="1"/>
  <c r="N34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N53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5" i="1"/>
  <c r="N36" i="1"/>
  <c r="N37" i="1"/>
  <c r="N38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4" i="1"/>
  <c r="N55" i="1"/>
  <c r="N56" i="1"/>
  <c r="N57" i="1"/>
  <c r="O57" i="1" s="1"/>
  <c r="N58" i="1"/>
  <c r="O58" i="1" s="1"/>
  <c r="M65" i="1"/>
  <c r="J65" i="1"/>
  <c r="H65" i="1"/>
  <c r="M64" i="1"/>
  <c r="J64" i="1"/>
  <c r="H64" i="1"/>
  <c r="M63" i="1"/>
  <c r="J63" i="1"/>
  <c r="H63" i="1"/>
  <c r="M62" i="1"/>
  <c r="J62" i="1"/>
  <c r="H62" i="1"/>
  <c r="M61" i="1"/>
  <c r="J61" i="1"/>
  <c r="H61" i="1"/>
  <c r="L65" i="7"/>
  <c r="J65" i="7"/>
  <c r="H65" i="7"/>
  <c r="L64" i="7"/>
  <c r="J64" i="7"/>
  <c r="H64" i="7"/>
  <c r="L63" i="7"/>
  <c r="J63" i="7"/>
  <c r="H63" i="7"/>
  <c r="L62" i="7"/>
  <c r="J62" i="7"/>
  <c r="H62" i="7"/>
  <c r="L61" i="7"/>
  <c r="J61" i="7"/>
  <c r="H61" i="7"/>
  <c r="L65" i="8"/>
  <c r="J65" i="8"/>
  <c r="H65" i="8"/>
  <c r="L64" i="8"/>
  <c r="J64" i="8"/>
  <c r="H64" i="8"/>
  <c r="L63" i="8"/>
  <c r="J63" i="8"/>
  <c r="H63" i="8"/>
  <c r="L62" i="8"/>
  <c r="J62" i="8"/>
  <c r="H62" i="8"/>
  <c r="L61" i="8"/>
  <c r="J61" i="8"/>
  <c r="H61" i="8"/>
  <c r="M62" i="7" l="1"/>
  <c r="N62" i="7" s="1"/>
  <c r="O37" i="1"/>
  <c r="U47" i="1"/>
  <c r="O54" i="1"/>
  <c r="U23" i="1"/>
  <c r="U40" i="1"/>
  <c r="R54" i="1"/>
  <c r="R47" i="1"/>
  <c r="U54" i="1"/>
  <c r="O40" i="1"/>
  <c r="O47" i="1"/>
  <c r="R2" i="1"/>
  <c r="R40" i="1"/>
  <c r="R37" i="1"/>
  <c r="R23" i="1"/>
  <c r="N61" i="1"/>
  <c r="P61" i="1" s="1"/>
  <c r="N65" i="1"/>
  <c r="P65" i="1" s="1"/>
  <c r="N62" i="1"/>
  <c r="P62" i="1" s="1"/>
  <c r="N64" i="1"/>
  <c r="P64" i="1" s="1"/>
  <c r="N63" i="1"/>
  <c r="P63" i="1" s="1"/>
  <c r="M64" i="7"/>
  <c r="N64" i="7" s="1"/>
  <c r="M65" i="7"/>
  <c r="N65" i="7" s="1"/>
  <c r="M63" i="7"/>
  <c r="N63" i="7" s="1"/>
  <c r="M61" i="7"/>
  <c r="N61" i="7" s="1"/>
  <c r="M62" i="8"/>
  <c r="N62" i="8" s="1"/>
  <c r="M61" i="8"/>
  <c r="N61" i="8" s="1"/>
  <c r="M65" i="8"/>
  <c r="N65" i="8" s="1"/>
  <c r="M64" i="8"/>
  <c r="N64" i="8" s="1"/>
  <c r="M63" i="8"/>
  <c r="Q58" i="8"/>
  <c r="L58" i="8"/>
  <c r="L57" i="8"/>
  <c r="L56" i="8"/>
  <c r="L55" i="8"/>
  <c r="L54" i="8"/>
  <c r="L53" i="8"/>
  <c r="L52" i="8"/>
  <c r="L51" i="8"/>
  <c r="L50" i="8"/>
  <c r="L49" i="8"/>
  <c r="L48" i="8"/>
  <c r="L47" i="8"/>
  <c r="L46" i="8"/>
  <c r="L45" i="8"/>
  <c r="L44" i="8"/>
  <c r="L43" i="8"/>
  <c r="L42" i="8"/>
  <c r="L41" i="8"/>
  <c r="L40" i="8"/>
  <c r="L38" i="8"/>
  <c r="L37" i="8"/>
  <c r="L36" i="8"/>
  <c r="L35" i="8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3" i="8"/>
  <c r="L2" i="8"/>
  <c r="L58" i="9"/>
  <c r="W58" i="9" s="1"/>
  <c r="L57" i="9"/>
  <c r="L56" i="9"/>
  <c r="L55" i="9"/>
  <c r="L54" i="9"/>
  <c r="L53" i="9"/>
  <c r="L52" i="9"/>
  <c r="L51" i="9"/>
  <c r="L50" i="9"/>
  <c r="L49" i="9"/>
  <c r="L48" i="9"/>
  <c r="L47" i="9"/>
  <c r="L46" i="9"/>
  <c r="L45" i="9"/>
  <c r="L44" i="9"/>
  <c r="L43" i="9"/>
  <c r="L42" i="9"/>
  <c r="L41" i="9"/>
  <c r="L40" i="9"/>
  <c r="L38" i="9"/>
  <c r="L37" i="9"/>
  <c r="L36" i="9"/>
  <c r="L35" i="9"/>
  <c r="L34" i="9"/>
  <c r="L33" i="9"/>
  <c r="L32" i="9"/>
  <c r="L31" i="9"/>
  <c r="L30" i="9"/>
  <c r="L29" i="9"/>
  <c r="L28" i="9"/>
  <c r="L27" i="9"/>
  <c r="L26" i="9"/>
  <c r="L25" i="9"/>
  <c r="L24" i="9"/>
  <c r="L23" i="9"/>
  <c r="L22" i="9"/>
  <c r="L21" i="9"/>
  <c r="L20" i="9"/>
  <c r="L19" i="9"/>
  <c r="L18" i="9"/>
  <c r="L17" i="9"/>
  <c r="L16" i="9"/>
  <c r="L15" i="9"/>
  <c r="L14" i="9"/>
  <c r="L13" i="9"/>
  <c r="L12" i="9"/>
  <c r="L11" i="9"/>
  <c r="L10" i="9"/>
  <c r="L9" i="9"/>
  <c r="L8" i="9"/>
  <c r="L7" i="9"/>
  <c r="L6" i="9"/>
  <c r="L5" i="9"/>
  <c r="L4" i="9"/>
  <c r="L3" i="9"/>
  <c r="L2" i="9"/>
  <c r="V15" i="5" l="1"/>
  <c r="T15" i="5"/>
  <c r="S15" i="5"/>
  <c r="Q10" i="5"/>
  <c r="O10" i="5"/>
  <c r="K10" i="5"/>
  <c r="J10" i="5"/>
  <c r="G10" i="5"/>
  <c r="M10" i="5"/>
  <c r="Q63" i="1"/>
  <c r="S63" i="1" s="1"/>
  <c r="O63" i="7"/>
  <c r="P63" i="7" s="1"/>
  <c r="O63" i="8"/>
  <c r="P63" i="8" s="1"/>
  <c r="N63" i="8"/>
  <c r="L57" i="7"/>
  <c r="M57" i="7" s="1"/>
  <c r="L58" i="7"/>
  <c r="L57" i="1"/>
  <c r="V57" i="1" s="1"/>
  <c r="R57" i="9"/>
  <c r="L58" i="1"/>
  <c r="N2" i="1"/>
  <c r="O2" i="1" s="1"/>
  <c r="M11" i="5" l="1"/>
  <c r="K11" i="5"/>
  <c r="J11" i="5"/>
  <c r="G11" i="5"/>
  <c r="Q12" i="5"/>
  <c r="Q11" i="5"/>
  <c r="W57" i="1"/>
  <c r="X57" i="1" s="1"/>
  <c r="AA57" i="1"/>
  <c r="L47" i="1"/>
  <c r="V47" i="1" s="1"/>
  <c r="L54" i="1"/>
  <c r="V54" i="1" s="1"/>
  <c r="L37" i="1"/>
  <c r="L2" i="1"/>
  <c r="L40" i="1"/>
  <c r="V40" i="1" s="1"/>
  <c r="V23" i="1"/>
  <c r="Z58" i="1"/>
  <c r="S58" i="1"/>
  <c r="AD58" i="1"/>
  <c r="Z57" i="1"/>
  <c r="G55" i="1"/>
  <c r="Z54" i="1"/>
  <c r="G54" i="1"/>
  <c r="G53" i="1"/>
  <c r="G52" i="1"/>
  <c r="G51" i="1"/>
  <c r="G50" i="1"/>
  <c r="G49" i="1"/>
  <c r="G48" i="1"/>
  <c r="Z47" i="1"/>
  <c r="G47" i="1"/>
  <c r="G46" i="1"/>
  <c r="G45" i="1"/>
  <c r="G44" i="1"/>
  <c r="G43" i="1"/>
  <c r="G42" i="1"/>
  <c r="G41" i="1"/>
  <c r="Z40" i="1"/>
  <c r="G40" i="1"/>
  <c r="G39" i="1"/>
  <c r="G38" i="1"/>
  <c r="Z37" i="1"/>
  <c r="S37" i="1"/>
  <c r="T37" i="1" s="1"/>
  <c r="U37" i="1" s="1"/>
  <c r="V37" i="1" s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Z23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Z2" i="1"/>
  <c r="R58" i="7"/>
  <c r="S58" i="7" s="1"/>
  <c r="T58" i="7" s="1"/>
  <c r="Q58" i="7"/>
  <c r="W58" i="7"/>
  <c r="S57" i="7"/>
  <c r="T57" i="7" s="1"/>
  <c r="Q57" i="7"/>
  <c r="N57" i="7"/>
  <c r="O57" i="7" s="1"/>
  <c r="R56" i="7"/>
  <c r="L56" i="7"/>
  <c r="G56" i="7"/>
  <c r="R55" i="7"/>
  <c r="L55" i="7"/>
  <c r="G55" i="7"/>
  <c r="R54" i="7"/>
  <c r="Q54" i="7"/>
  <c r="L54" i="7"/>
  <c r="G54" i="7"/>
  <c r="R53" i="7"/>
  <c r="L53" i="7"/>
  <c r="G53" i="7"/>
  <c r="R52" i="7"/>
  <c r="L52" i="7"/>
  <c r="G52" i="7"/>
  <c r="R51" i="7"/>
  <c r="L51" i="7"/>
  <c r="G51" i="7"/>
  <c r="R50" i="7"/>
  <c r="L50" i="7"/>
  <c r="G50" i="7"/>
  <c r="R49" i="7"/>
  <c r="L49" i="7"/>
  <c r="G49" i="7"/>
  <c r="R48" i="7"/>
  <c r="L48" i="7"/>
  <c r="G48" i="7"/>
  <c r="R47" i="7"/>
  <c r="Q47" i="7"/>
  <c r="L47" i="7"/>
  <c r="G47" i="7"/>
  <c r="R46" i="7"/>
  <c r="L46" i="7"/>
  <c r="G46" i="7"/>
  <c r="R45" i="7"/>
  <c r="L45" i="7"/>
  <c r="G45" i="7"/>
  <c r="R44" i="7"/>
  <c r="L44" i="7"/>
  <c r="G44" i="7"/>
  <c r="R43" i="7"/>
  <c r="L43" i="7"/>
  <c r="G43" i="7"/>
  <c r="R42" i="7"/>
  <c r="L42" i="7"/>
  <c r="G42" i="7"/>
  <c r="R41" i="7"/>
  <c r="L41" i="7"/>
  <c r="G41" i="7"/>
  <c r="R40" i="7"/>
  <c r="Q40" i="7"/>
  <c r="L40" i="7"/>
  <c r="I40" i="7"/>
  <c r="G40" i="7"/>
  <c r="G39" i="7"/>
  <c r="W39" i="7" s="1"/>
  <c r="R38" i="7"/>
  <c r="L38" i="7"/>
  <c r="G38" i="7"/>
  <c r="R37" i="7"/>
  <c r="Q37" i="7"/>
  <c r="L37" i="7"/>
  <c r="G37" i="7"/>
  <c r="R36" i="7"/>
  <c r="L36" i="7"/>
  <c r="G36" i="7"/>
  <c r="R35" i="7"/>
  <c r="L35" i="7"/>
  <c r="G35" i="7"/>
  <c r="R34" i="7"/>
  <c r="L34" i="7"/>
  <c r="G34" i="7"/>
  <c r="R33" i="7"/>
  <c r="L33" i="7"/>
  <c r="G33" i="7"/>
  <c r="R32" i="7"/>
  <c r="L32" i="7"/>
  <c r="G32" i="7"/>
  <c r="R31" i="7"/>
  <c r="L31" i="7"/>
  <c r="G31" i="7"/>
  <c r="R30" i="7"/>
  <c r="L30" i="7"/>
  <c r="G30" i="7"/>
  <c r="R29" i="7"/>
  <c r="L29" i="7"/>
  <c r="G29" i="7"/>
  <c r="R28" i="7"/>
  <c r="L28" i="7"/>
  <c r="G28" i="7"/>
  <c r="R27" i="7"/>
  <c r="L27" i="7"/>
  <c r="G27" i="7"/>
  <c r="R26" i="7"/>
  <c r="L26" i="7"/>
  <c r="G26" i="7"/>
  <c r="R25" i="7"/>
  <c r="L25" i="7"/>
  <c r="G25" i="7"/>
  <c r="R24" i="7"/>
  <c r="L24" i="7"/>
  <c r="G24" i="7"/>
  <c r="R23" i="7"/>
  <c r="Q23" i="7"/>
  <c r="L23" i="7"/>
  <c r="I23" i="7"/>
  <c r="G23" i="7"/>
  <c r="R22" i="7"/>
  <c r="L22" i="7"/>
  <c r="G22" i="7"/>
  <c r="R21" i="7"/>
  <c r="L21" i="7"/>
  <c r="G21" i="7"/>
  <c r="R20" i="7"/>
  <c r="L20" i="7"/>
  <c r="G20" i="7"/>
  <c r="R19" i="7"/>
  <c r="L19" i="7"/>
  <c r="G19" i="7"/>
  <c r="R18" i="7"/>
  <c r="L18" i="7"/>
  <c r="G18" i="7"/>
  <c r="R17" i="7"/>
  <c r="L17" i="7"/>
  <c r="G17" i="7"/>
  <c r="R16" i="7"/>
  <c r="L16" i="7"/>
  <c r="G16" i="7"/>
  <c r="R15" i="7"/>
  <c r="L15" i="7"/>
  <c r="G15" i="7"/>
  <c r="R14" i="7"/>
  <c r="L14" i="7"/>
  <c r="R13" i="7"/>
  <c r="L13" i="7"/>
  <c r="R12" i="7"/>
  <c r="L12" i="7"/>
  <c r="G12" i="7"/>
  <c r="R11" i="7"/>
  <c r="L11" i="7"/>
  <c r="G11" i="7"/>
  <c r="R10" i="7"/>
  <c r="L10" i="7"/>
  <c r="G10" i="7"/>
  <c r="R9" i="7"/>
  <c r="L9" i="7"/>
  <c r="G9" i="7"/>
  <c r="R8" i="7"/>
  <c r="L8" i="7"/>
  <c r="R7" i="7"/>
  <c r="L7" i="7"/>
  <c r="G7" i="7"/>
  <c r="R6" i="7"/>
  <c r="L6" i="7"/>
  <c r="G6" i="7"/>
  <c r="R5" i="7"/>
  <c r="L5" i="7"/>
  <c r="G5" i="7"/>
  <c r="R4" i="7"/>
  <c r="L4" i="7"/>
  <c r="R3" i="7"/>
  <c r="L3" i="7"/>
  <c r="R2" i="7"/>
  <c r="Q2" i="7"/>
  <c r="L2" i="7"/>
  <c r="R58" i="8"/>
  <c r="S58" i="8" s="1"/>
  <c r="T58" i="8" s="1"/>
  <c r="W58" i="8"/>
  <c r="S57" i="8"/>
  <c r="T57" i="8" s="1"/>
  <c r="Q57" i="8"/>
  <c r="M57" i="8"/>
  <c r="N57" i="8" s="1"/>
  <c r="O57" i="8" s="1"/>
  <c r="R56" i="8"/>
  <c r="G56" i="8"/>
  <c r="R55" i="8"/>
  <c r="G55" i="8"/>
  <c r="R54" i="8"/>
  <c r="Q54" i="8"/>
  <c r="G54" i="8"/>
  <c r="R53" i="8"/>
  <c r="G53" i="8"/>
  <c r="R52" i="8"/>
  <c r="G52" i="8"/>
  <c r="R51" i="8"/>
  <c r="G51" i="8"/>
  <c r="R50" i="8"/>
  <c r="G50" i="8"/>
  <c r="R49" i="8"/>
  <c r="G49" i="8"/>
  <c r="R48" i="8"/>
  <c r="G48" i="8"/>
  <c r="R47" i="8"/>
  <c r="Q47" i="8"/>
  <c r="G47" i="8"/>
  <c r="R46" i="8"/>
  <c r="G46" i="8"/>
  <c r="R45" i="8"/>
  <c r="G45" i="8"/>
  <c r="R44" i="8"/>
  <c r="G44" i="8"/>
  <c r="R43" i="8"/>
  <c r="G43" i="8"/>
  <c r="R42" i="8"/>
  <c r="G42" i="8"/>
  <c r="R41" i="8"/>
  <c r="G41" i="8"/>
  <c r="R40" i="8"/>
  <c r="Q40" i="8"/>
  <c r="I40" i="8"/>
  <c r="G40" i="8"/>
  <c r="G39" i="8"/>
  <c r="W39" i="8" s="1"/>
  <c r="N8" i="5" s="1"/>
  <c r="R38" i="8"/>
  <c r="G38" i="8"/>
  <c r="R37" i="8"/>
  <c r="Q37" i="8"/>
  <c r="G37" i="8"/>
  <c r="R36" i="8"/>
  <c r="G36" i="8"/>
  <c r="R35" i="8"/>
  <c r="G35" i="8"/>
  <c r="R34" i="8"/>
  <c r="G34" i="8"/>
  <c r="R33" i="8"/>
  <c r="G33" i="8"/>
  <c r="R32" i="8"/>
  <c r="G32" i="8"/>
  <c r="R31" i="8"/>
  <c r="G31" i="8"/>
  <c r="R30" i="8"/>
  <c r="G30" i="8"/>
  <c r="R29" i="8"/>
  <c r="G29" i="8"/>
  <c r="R28" i="8"/>
  <c r="G28" i="8"/>
  <c r="R27" i="8"/>
  <c r="G27" i="8"/>
  <c r="R26" i="8"/>
  <c r="G26" i="8"/>
  <c r="R25" i="8"/>
  <c r="G25" i="8"/>
  <c r="R24" i="8"/>
  <c r="G24" i="8"/>
  <c r="R23" i="8"/>
  <c r="Q23" i="8"/>
  <c r="I23" i="8"/>
  <c r="G23" i="8"/>
  <c r="R22" i="8"/>
  <c r="G22" i="8"/>
  <c r="R21" i="8"/>
  <c r="G21" i="8"/>
  <c r="R20" i="8"/>
  <c r="G20" i="8"/>
  <c r="R19" i="8"/>
  <c r="G19" i="8"/>
  <c r="R18" i="8"/>
  <c r="G18" i="8"/>
  <c r="R17" i="8"/>
  <c r="G17" i="8"/>
  <c r="R16" i="8"/>
  <c r="G16" i="8"/>
  <c r="R15" i="8"/>
  <c r="G15" i="8"/>
  <c r="R14" i="8"/>
  <c r="G14" i="8"/>
  <c r="R13" i="8"/>
  <c r="G13" i="8"/>
  <c r="R12" i="8"/>
  <c r="G12" i="8"/>
  <c r="R11" i="8"/>
  <c r="G11" i="8"/>
  <c r="R10" i="8"/>
  <c r="G10" i="8"/>
  <c r="R9" i="8"/>
  <c r="G9" i="8"/>
  <c r="R8" i="8"/>
  <c r="G8" i="8"/>
  <c r="R7" i="8"/>
  <c r="G7" i="8"/>
  <c r="R6" i="8"/>
  <c r="G6" i="8"/>
  <c r="R5" i="8"/>
  <c r="G5" i="8"/>
  <c r="R4" i="8"/>
  <c r="G4" i="8"/>
  <c r="R3" i="8"/>
  <c r="G3" i="8"/>
  <c r="R2" i="8"/>
  <c r="Q2" i="8"/>
  <c r="G2" i="8"/>
  <c r="Q47" i="9"/>
  <c r="Q37" i="9"/>
  <c r="G39" i="9"/>
  <c r="W39" i="9" s="1"/>
  <c r="G29" i="9"/>
  <c r="R29" i="9"/>
  <c r="R56" i="9"/>
  <c r="R51" i="9"/>
  <c r="R52" i="9"/>
  <c r="R53" i="9"/>
  <c r="R54" i="9"/>
  <c r="R55" i="9"/>
  <c r="R2" i="9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30" i="9"/>
  <c r="R31" i="9"/>
  <c r="R32" i="9"/>
  <c r="R33" i="9"/>
  <c r="R34" i="9"/>
  <c r="R35" i="9"/>
  <c r="R36" i="9"/>
  <c r="R37" i="9"/>
  <c r="S37" i="9" s="1"/>
  <c r="T37" i="9" s="1"/>
  <c r="R38" i="9"/>
  <c r="R40" i="9"/>
  <c r="R41" i="9"/>
  <c r="R42" i="9"/>
  <c r="R43" i="9"/>
  <c r="R44" i="9"/>
  <c r="R45" i="9"/>
  <c r="R46" i="9"/>
  <c r="R47" i="9"/>
  <c r="R48" i="9"/>
  <c r="R49" i="9"/>
  <c r="R50" i="9"/>
  <c r="Q2" i="9"/>
  <c r="G2" i="9"/>
  <c r="M37" i="9"/>
  <c r="N37" i="9" s="1"/>
  <c r="M47" i="9"/>
  <c r="N47" i="9" s="1"/>
  <c r="G4" i="9"/>
  <c r="G24" i="9"/>
  <c r="G3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5" i="9"/>
  <c r="G26" i="9"/>
  <c r="G27" i="9"/>
  <c r="G28" i="9"/>
  <c r="G30" i="9"/>
  <c r="G31" i="9"/>
  <c r="G32" i="9"/>
  <c r="G33" i="9"/>
  <c r="G34" i="9"/>
  <c r="G35" i="9"/>
  <c r="G36" i="9"/>
  <c r="G37" i="9"/>
  <c r="H37" i="9" s="1"/>
  <c r="I37" i="9" s="1"/>
  <c r="G38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S40" i="8" l="1"/>
  <c r="T40" i="8" s="1"/>
  <c r="R15" i="5"/>
  <c r="Q15" i="5"/>
  <c r="H37" i="8"/>
  <c r="I37" i="8" s="1"/>
  <c r="H47" i="9"/>
  <c r="I47" i="9" s="1"/>
  <c r="U47" i="9" s="1"/>
  <c r="W47" i="9" s="1"/>
  <c r="U14" i="5"/>
  <c r="L14" i="5"/>
  <c r="U13" i="5"/>
  <c r="L13" i="5"/>
  <c r="U12" i="5"/>
  <c r="I15" i="5"/>
  <c r="M15" i="5"/>
  <c r="U11" i="5"/>
  <c r="H15" i="5"/>
  <c r="U10" i="5"/>
  <c r="G15" i="5"/>
  <c r="U9" i="5"/>
  <c r="U8" i="5"/>
  <c r="U7" i="5"/>
  <c r="U6" i="5"/>
  <c r="U5" i="5"/>
  <c r="S12" i="5"/>
  <c r="L8" i="5"/>
  <c r="S47" i="9"/>
  <c r="T47" i="9" s="1"/>
  <c r="K8" i="5"/>
  <c r="I8" i="5"/>
  <c r="H8" i="5"/>
  <c r="G8" i="5"/>
  <c r="F15" i="5"/>
  <c r="E15" i="5"/>
  <c r="C15" i="5"/>
  <c r="H37" i="7"/>
  <c r="I37" i="7" s="1"/>
  <c r="U37" i="9"/>
  <c r="W37" i="9" s="1"/>
  <c r="S54" i="8"/>
  <c r="T54" i="8" s="1"/>
  <c r="H54" i="7"/>
  <c r="I54" i="7" s="1"/>
  <c r="H40" i="9"/>
  <c r="I40" i="9" s="1"/>
  <c r="H23" i="9"/>
  <c r="I23" i="9" s="1"/>
  <c r="S47" i="8"/>
  <c r="T47" i="8" s="1"/>
  <c r="U57" i="8"/>
  <c r="W57" i="8" s="1"/>
  <c r="Q16" i="5" s="1"/>
  <c r="S37" i="7"/>
  <c r="T37" i="7" s="1"/>
  <c r="S47" i="7"/>
  <c r="T47" i="7" s="1"/>
  <c r="H47" i="7"/>
  <c r="I47" i="7" s="1"/>
  <c r="H2" i="9"/>
  <c r="I2" i="9" s="1"/>
  <c r="S2" i="9"/>
  <c r="T2" i="9" s="1"/>
  <c r="S2" i="8"/>
  <c r="T2" i="8" s="1"/>
  <c r="H2" i="8"/>
  <c r="I2" i="8" s="1"/>
  <c r="M40" i="7"/>
  <c r="N40" i="7" s="1"/>
  <c r="M37" i="7"/>
  <c r="N37" i="7" s="1"/>
  <c r="O37" i="7" s="1"/>
  <c r="M23" i="7"/>
  <c r="N23" i="7" s="1"/>
  <c r="O23" i="7" s="1"/>
  <c r="W54" i="1"/>
  <c r="AA54" i="1"/>
  <c r="W40" i="1"/>
  <c r="AA40" i="1"/>
  <c r="W37" i="1"/>
  <c r="AA37" i="1"/>
  <c r="W23" i="1"/>
  <c r="X23" i="1" s="1"/>
  <c r="AA23" i="1"/>
  <c r="W47" i="1"/>
  <c r="AA47" i="1"/>
  <c r="H37" i="1"/>
  <c r="I37" i="1" s="1"/>
  <c r="T58" i="1"/>
  <c r="U58" i="1" s="1"/>
  <c r="V58" i="1" s="1"/>
  <c r="H54" i="1"/>
  <c r="I54" i="1" s="1"/>
  <c r="H40" i="1"/>
  <c r="I40" i="1" s="1"/>
  <c r="H47" i="1"/>
  <c r="I47" i="1" s="1"/>
  <c r="S2" i="1"/>
  <c r="T2" i="1" s="1"/>
  <c r="U2" i="1" s="1"/>
  <c r="V2" i="1" s="1"/>
  <c r="H39" i="1"/>
  <c r="I39" i="1" s="1"/>
  <c r="AD39" i="1"/>
  <c r="H2" i="1"/>
  <c r="I2" i="1" s="1"/>
  <c r="AB57" i="1"/>
  <c r="AD57" i="1" s="1"/>
  <c r="S40" i="7"/>
  <c r="T40" i="7" s="1"/>
  <c r="S2" i="7"/>
  <c r="T2" i="7" s="1"/>
  <c r="H2" i="7"/>
  <c r="I2" i="7" s="1"/>
  <c r="S23" i="7"/>
  <c r="T23" i="7" s="1"/>
  <c r="M47" i="7"/>
  <c r="N47" i="7" s="1"/>
  <c r="O47" i="7" s="1"/>
  <c r="M54" i="7"/>
  <c r="N54" i="7" s="1"/>
  <c r="O54" i="7" s="1"/>
  <c r="M2" i="7"/>
  <c r="N2" i="7" s="1"/>
  <c r="O2" i="7" s="1"/>
  <c r="S54" i="7"/>
  <c r="T54" i="7" s="1"/>
  <c r="S23" i="8"/>
  <c r="T23" i="8" s="1"/>
  <c r="H39" i="8"/>
  <c r="I39" i="8" s="1"/>
  <c r="H47" i="8"/>
  <c r="I47" i="8" s="1"/>
  <c r="H54" i="8"/>
  <c r="I54" i="8" s="1"/>
  <c r="S37" i="8"/>
  <c r="T37" i="8" s="1"/>
  <c r="H39" i="9"/>
  <c r="I39" i="9" s="1"/>
  <c r="H39" i="7"/>
  <c r="I39" i="7" s="1"/>
  <c r="M54" i="8"/>
  <c r="N54" i="8" s="1"/>
  <c r="O54" i="8" s="1"/>
  <c r="M47" i="8"/>
  <c r="N47" i="8" s="1"/>
  <c r="O47" i="8" s="1"/>
  <c r="M40" i="8"/>
  <c r="N40" i="8" s="1"/>
  <c r="M37" i="8"/>
  <c r="N37" i="8" s="1"/>
  <c r="O37" i="8" s="1"/>
  <c r="M23" i="8"/>
  <c r="N23" i="8" s="1"/>
  <c r="M2" i="8"/>
  <c r="N2" i="8" s="1"/>
  <c r="O2" i="8" s="1"/>
  <c r="U57" i="7"/>
  <c r="W57" i="7" s="1"/>
  <c r="M58" i="7"/>
  <c r="N58" i="7" s="1"/>
  <c r="O58" i="7" s="1"/>
  <c r="U58" i="7" s="1"/>
  <c r="M58" i="8"/>
  <c r="N58" i="8" s="1"/>
  <c r="O58" i="8" s="1"/>
  <c r="U58" i="8" s="1"/>
  <c r="L66" i="9"/>
  <c r="J66" i="9"/>
  <c r="H66" i="9"/>
  <c r="L65" i="9"/>
  <c r="J65" i="9"/>
  <c r="H65" i="9"/>
  <c r="L64" i="9"/>
  <c r="J64" i="9"/>
  <c r="H64" i="9"/>
  <c r="L63" i="9"/>
  <c r="J63" i="9"/>
  <c r="H63" i="9"/>
  <c r="L62" i="9"/>
  <c r="J62" i="9"/>
  <c r="H62" i="9"/>
  <c r="O40" i="8" l="1"/>
  <c r="U40" i="8" s="1"/>
  <c r="W40" i="8" s="1"/>
  <c r="P6" i="5" s="1"/>
  <c r="O23" i="8"/>
  <c r="U23" i="8" s="1"/>
  <c r="W23" i="8" s="1"/>
  <c r="O40" i="7"/>
  <c r="U40" i="7" s="1"/>
  <c r="W40" i="7" s="1"/>
  <c r="E8" i="5"/>
  <c r="D8" i="5"/>
  <c r="M16" i="5"/>
  <c r="K16" i="5"/>
  <c r="U2" i="8"/>
  <c r="W2" i="8" s="1"/>
  <c r="U37" i="8"/>
  <c r="W37" i="8" s="1"/>
  <c r="N9" i="5" s="1"/>
  <c r="U47" i="7"/>
  <c r="W47" i="7" s="1"/>
  <c r="M13" i="5" s="1"/>
  <c r="U54" i="8"/>
  <c r="W54" i="8" s="1"/>
  <c r="U37" i="7"/>
  <c r="W37" i="7" s="1"/>
  <c r="AB37" i="1"/>
  <c r="AD37" i="1" s="1"/>
  <c r="AB54" i="1"/>
  <c r="AD54" i="1" s="1"/>
  <c r="AB23" i="1"/>
  <c r="AD23" i="1" s="1"/>
  <c r="AB40" i="1"/>
  <c r="AD40" i="1" s="1"/>
  <c r="U54" i="7"/>
  <c r="W54" i="7" s="1"/>
  <c r="U2" i="7"/>
  <c r="W2" i="7" s="1"/>
  <c r="U23" i="7"/>
  <c r="W23" i="7" s="1"/>
  <c r="W2" i="1"/>
  <c r="AA2" i="1"/>
  <c r="AB47" i="1"/>
  <c r="AD47" i="1" s="1"/>
  <c r="W58" i="1"/>
  <c r="X58" i="1" s="1"/>
  <c r="AA58" i="1"/>
  <c r="M63" i="9"/>
  <c r="N63" i="9" s="1"/>
  <c r="U47" i="8"/>
  <c r="W47" i="8" s="1"/>
  <c r="M62" i="9"/>
  <c r="N62" i="9" s="1"/>
  <c r="M66" i="9"/>
  <c r="N66" i="9" s="1"/>
  <c r="M65" i="9"/>
  <c r="N65" i="9" s="1"/>
  <c r="M64" i="9"/>
  <c r="N64" i="9" s="1"/>
  <c r="R5" i="5" l="1"/>
  <c r="O5" i="5"/>
  <c r="Q5" i="5"/>
  <c r="M6" i="5"/>
  <c r="L6" i="5"/>
  <c r="G6" i="5"/>
  <c r="K6" i="5"/>
  <c r="G9" i="5"/>
  <c r="M9" i="5"/>
  <c r="L9" i="5"/>
  <c r="K9" i="5"/>
  <c r="I9" i="5"/>
  <c r="M14" i="5"/>
  <c r="J14" i="5"/>
  <c r="H14" i="5"/>
  <c r="G14" i="5"/>
  <c r="E6" i="5"/>
  <c r="F6" i="5"/>
  <c r="V10" i="5"/>
  <c r="T10" i="5"/>
  <c r="S10" i="5"/>
  <c r="F7" i="5"/>
  <c r="E7" i="5"/>
  <c r="F5" i="5"/>
  <c r="E5" i="5"/>
  <c r="D5" i="5"/>
  <c r="C5" i="5"/>
  <c r="R14" i="5"/>
  <c r="Q14" i="5"/>
  <c r="P14" i="5"/>
  <c r="O14" i="5"/>
  <c r="R7" i="5"/>
  <c r="Q7" i="5"/>
  <c r="O7" i="5"/>
  <c r="V11" i="5"/>
  <c r="T11" i="5"/>
  <c r="S11" i="5"/>
  <c r="M5" i="5"/>
  <c r="L5" i="5"/>
  <c r="K5" i="5"/>
  <c r="G7" i="5"/>
  <c r="J5" i="5"/>
  <c r="M7" i="5"/>
  <c r="H5" i="5"/>
  <c r="K7" i="5"/>
  <c r="G5" i="5"/>
  <c r="J7" i="5"/>
  <c r="H7" i="5"/>
  <c r="AB58" i="1"/>
  <c r="AB2" i="1"/>
  <c r="AD2" i="1" s="1"/>
  <c r="O64" i="9"/>
  <c r="P64" i="9" s="1"/>
  <c r="R58" i="9" l="1"/>
  <c r="S58" i="9" s="1"/>
  <c r="T58" i="9" s="1"/>
  <c r="Q58" i="9"/>
  <c r="S57" i="9"/>
  <c r="T57" i="9" s="1"/>
  <c r="Q57" i="9"/>
  <c r="M57" i="9"/>
  <c r="N57" i="9" s="1"/>
  <c r="O57" i="9" s="1"/>
  <c r="Q54" i="9"/>
  <c r="H54" i="9"/>
  <c r="I54" i="9" s="1"/>
  <c r="Q40" i="9"/>
  <c r="Q23" i="9"/>
  <c r="U57" i="9" l="1"/>
  <c r="W57" i="9" s="1"/>
  <c r="M54" i="9"/>
  <c r="N54" i="9" s="1"/>
  <c r="M40" i="9"/>
  <c r="N40" i="9" s="1"/>
  <c r="M23" i="9"/>
  <c r="N23" i="9" s="1"/>
  <c r="M58" i="9"/>
  <c r="N58" i="9" s="1"/>
  <c r="O58" i="9" s="1"/>
  <c r="U58" i="9" s="1"/>
  <c r="V16" i="5" l="1"/>
  <c r="T16" i="5"/>
  <c r="S16" i="5"/>
  <c r="Y13" i="5"/>
  <c r="Y10" i="5"/>
  <c r="Y5" i="5"/>
  <c r="AE2" i="8"/>
  <c r="AC2" i="8"/>
  <c r="W5" i="5" a="1"/>
  <c r="W5" i="5" l="1"/>
  <c r="AD2" i="8" l="1"/>
  <c r="AF2" i="8"/>
  <c r="AG2" i="8"/>
  <c r="S54" i="9"/>
  <c r="T54" i="9" s="1"/>
  <c r="U54" i="9" s="1"/>
  <c r="W54" i="9" s="1"/>
  <c r="S23" i="9"/>
  <c r="T23" i="9" s="1"/>
  <c r="U23" i="9" s="1"/>
  <c r="W23" i="9" s="1"/>
  <c r="S40" i="9"/>
  <c r="T40" i="9" s="1"/>
  <c r="U40" i="9" s="1"/>
  <c r="W40" i="9" s="1"/>
  <c r="M2" i="9"/>
  <c r="V14" i="5" l="1"/>
  <c r="T14" i="5"/>
  <c r="S14" i="5"/>
  <c r="N2" i="9"/>
  <c r="O2" i="9" s="1"/>
  <c r="U2" i="9" s="1"/>
  <c r="W2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<sst xmlns="http://schemas.openxmlformats.org/spreadsheetml/2006/main" count="967" uniqueCount="283">
  <si>
    <t>Paramètre</t>
  </si>
  <si>
    <t>Unité</t>
  </si>
  <si>
    <t>°C</t>
  </si>
  <si>
    <t>pH</t>
  </si>
  <si>
    <t>—</t>
  </si>
  <si>
    <t>Turbidité</t>
  </si>
  <si>
    <t>NTU</t>
  </si>
  <si>
    <t>Conductivité</t>
  </si>
  <si>
    <t>µS/cm</t>
  </si>
  <si>
    <t>DBO5</t>
  </si>
  <si>
    <t>mg/L</t>
  </si>
  <si>
    <t>DCO</t>
  </si>
  <si>
    <t>Oxygène dissous</t>
  </si>
  <si>
    <t>Nitrates (NO₃⁻)</t>
  </si>
  <si>
    <t>Nitrites (NO₂⁻)</t>
  </si>
  <si>
    <t>Ammoniac (NH₄⁺)</t>
  </si>
  <si>
    <t>Phosphore total</t>
  </si>
  <si>
    <t>Azote total</t>
  </si>
  <si>
    <t>Perméabilité</t>
  </si>
  <si>
    <t>cm/s</t>
  </si>
  <si>
    <t>Matière organique</t>
  </si>
  <si>
    <t>%</t>
  </si>
  <si>
    <t>Carbone organique</t>
  </si>
  <si>
    <t>mg/kg</t>
  </si>
  <si>
    <t>Poussières totales</t>
  </si>
  <si>
    <t>mg/m³</t>
  </si>
  <si>
    <t>PM10</t>
  </si>
  <si>
    <t>µg/m³</t>
  </si>
  <si>
    <t>PM2.5</t>
  </si>
  <si>
    <t>SO₂</t>
  </si>
  <si>
    <t>NOx</t>
  </si>
  <si>
    <t>CO</t>
  </si>
  <si>
    <t>O₃ (ozone)</t>
  </si>
  <si>
    <t>Milieu PHYSIQUE/EAU</t>
  </si>
  <si>
    <t>Milieu PHYSIQUE/SOL</t>
  </si>
  <si>
    <t>Milieu PHYSIQUE/AIR</t>
  </si>
  <si>
    <t>Ph</t>
  </si>
  <si>
    <t xml:space="preserve">Hydrocarbures (HCT, HAP) </t>
  </si>
  <si>
    <t>Plomb (Pb)</t>
  </si>
  <si>
    <t>Cadmium (Cd)</t>
  </si>
  <si>
    <t>Chrome total (Cr)</t>
  </si>
  <si>
    <t>Cuivre (Cu)</t>
  </si>
  <si>
    <t>Zinc (Zn)</t>
  </si>
  <si>
    <t>Nickel (Ni)</t>
  </si>
  <si>
    <t>Mercure (Hg)</t>
  </si>
  <si>
    <t>Arsenic (As)</t>
  </si>
  <si>
    <t>Cas</t>
  </si>
  <si>
    <t>Score</t>
  </si>
  <si>
    <t>Dans l’intervalle</t>
  </si>
  <si>
    <t>Légèrement hors intervalle (ex. ±20%)</t>
  </si>
  <si>
    <t>Largement hors intervalle (&gt; ±20%)</t>
  </si>
  <si>
    <t>Logique proposée</t>
  </si>
  <si>
    <t>Durée</t>
  </si>
  <si>
    <t>Court terme</t>
  </si>
  <si>
    <t>Moyen terme</t>
  </si>
  <si>
    <t>Long terme</t>
  </si>
  <si>
    <t>Étendue</t>
  </si>
  <si>
    <t>Locale</t>
  </si>
  <si>
    <t>Régionale</t>
  </si>
  <si>
    <t>Nationale</t>
  </si>
  <si>
    <t>Internationale</t>
  </si>
  <si>
    <t>Faible</t>
  </si>
  <si>
    <t>Moyen</t>
  </si>
  <si>
    <t xml:space="preserve">Etendu </t>
  </si>
  <si>
    <t>milieu</t>
  </si>
  <si>
    <t xml:space="preserve">composantes </t>
  </si>
  <si>
    <t>Phase de pré-construction</t>
  </si>
  <si>
    <t xml:space="preserve">Phase construction </t>
  </si>
  <si>
    <t>Phase exploitation</t>
  </si>
  <si>
    <t xml:space="preserve">Source d’impact </t>
  </si>
  <si>
    <t>Prospection
préliminaire</t>
  </si>
  <si>
    <t>Transport et
circulation</t>
  </si>
  <si>
    <t>Installation du
chantier</t>
  </si>
  <si>
    <t>Présence de la
Base</t>
  </si>
  <si>
    <t>Bâtiments et
équipements</t>
  </si>
  <si>
    <t>Rejets liquides et
solides</t>
  </si>
  <si>
    <t xml:space="preserve"> Remise en etat </t>
  </si>
  <si>
    <t>Entretien et
réparation</t>
  </si>
  <si>
    <t xml:space="preserve">Phase de démantalement  </t>
  </si>
  <si>
    <t xml:space="preserve">Milieu physique </t>
  </si>
  <si>
    <t>sol</t>
  </si>
  <si>
    <t xml:space="preserve">air </t>
  </si>
  <si>
    <t>Milieu biologique</t>
  </si>
  <si>
    <t xml:space="preserve">Flore </t>
  </si>
  <si>
    <t xml:space="preserve">faune </t>
  </si>
  <si>
    <t>Santé &amp; Sécurité</t>
  </si>
  <si>
    <t>Activité socio-
économique/emplois</t>
  </si>
  <si>
    <t>→ Moyen à grave</t>
  </si>
  <si>
    <t xml:space="preserve"> → Grave</t>
  </si>
  <si>
    <t xml:space="preserve">CONSTRUCTION </t>
  </si>
  <si>
    <t>Activité socio-économique / Emploi</t>
  </si>
  <si>
    <t>Présence sur site</t>
  </si>
  <si>
    <t>Critère</t>
  </si>
  <si>
    <t>Score proposé</t>
  </si>
  <si>
    <t>Aucune espèce protégée</t>
  </si>
  <si>
    <t>Espèce peu menacée ou rare</t>
  </si>
  <si>
    <t>Espèce vulnérable</t>
  </si>
  <si>
    <t>Espèce en danger / endémique</t>
  </si>
  <si>
    <t>Espèce en danger critique</t>
  </si>
  <si>
    <t>Espèce protégée + reproduction</t>
  </si>
  <si>
    <t>MILEUX BIO</t>
  </si>
  <si>
    <t>Statut de protection</t>
  </si>
  <si>
    <t>Aucune protection</t>
  </si>
  <si>
    <t>Espèce inscrite sur la Liste rouge UICN (Préoccupation mineure à vulnérable)</t>
  </si>
  <si>
    <t>Espèce inscrite Liste rouge UICN (En danger / En danger critique)</t>
  </si>
  <si>
    <t>Description</t>
  </si>
  <si>
    <t>Aucune présence</t>
  </si>
  <si>
    <t>Aucune observation ni mention connue</t>
  </si>
  <si>
    <t>Présence potentielle</t>
  </si>
  <si>
    <t>Habitat favorable, mais espèce non observée</t>
  </si>
  <si>
    <t>Présence occasionnelle</t>
  </si>
  <si>
    <t>Espèce observée rarement ou de passage</t>
  </si>
  <si>
    <t>Présence régulière</t>
  </si>
  <si>
    <t>Espèce présente chaque saison ou fréquemment</t>
  </si>
  <si>
    <t>Présence permanente</t>
  </si>
  <si>
    <t>Espèce installée de façon continue, avec activité biologique claire</t>
  </si>
  <si>
    <t>score</t>
  </si>
  <si>
    <t>niveau local ou régional</t>
  </si>
  <si>
    <t>niveau national (loi marocaine par ex.)</t>
  </si>
  <si>
    <t xml:space="preserve">Valeur mesurée de milieux initial </t>
  </si>
  <si>
    <t>Fort</t>
  </si>
  <si>
    <r>
      <t xml:space="preserve"> </t>
    </r>
    <r>
      <rPr>
        <b/>
        <sz val="11"/>
        <color theme="1"/>
        <rFont val="Calibri"/>
        <family val="2"/>
        <scheme val="minor"/>
      </rPr>
      <t>Valeur de rejet vs intervalle</t>
    </r>
  </si>
  <si>
    <r>
      <t>0</t>
    </r>
    <r>
      <rPr>
        <sz val="11"/>
        <color theme="1"/>
        <rFont val="Calibri"/>
        <family val="2"/>
        <scheme val="minor"/>
      </rPr>
      <t xml:space="preserve"> = Conforme</t>
    </r>
  </si>
  <si>
    <r>
      <t>1</t>
    </r>
    <r>
      <rPr>
        <sz val="11"/>
        <color theme="1"/>
        <rFont val="Calibri"/>
        <family val="2"/>
        <scheme val="minor"/>
      </rPr>
      <t xml:space="preserve"> = Dépassement léger (≤10%)</t>
    </r>
  </si>
  <si>
    <r>
      <t>2</t>
    </r>
    <r>
      <rPr>
        <sz val="11"/>
        <color theme="1"/>
        <rFont val="Calibri"/>
        <family val="2"/>
        <scheme val="minor"/>
      </rPr>
      <t xml:space="preserve"> = Dépassement important (&gt;10%)</t>
    </r>
  </si>
  <si>
    <t xml:space="preserve">score totale </t>
  </si>
  <si>
    <t>IMPACT appréhendé</t>
  </si>
  <si>
    <t xml:space="preserve">ETA APRES REJET  SCORT </t>
  </si>
  <si>
    <t>FAIBLE</t>
  </si>
  <si>
    <t>ÉGAL</t>
  </si>
  <si>
    <t>MOYEN</t>
  </si>
  <si>
    <t>FORT</t>
  </si>
  <si>
    <t xml:space="preserve">Score total </t>
  </si>
  <si>
    <t>Somme</t>
  </si>
  <si>
    <t>Valeur</t>
  </si>
  <si>
    <t>1 – 2</t>
  </si>
  <si>
    <t>3 – 4</t>
  </si>
  <si>
    <t>Moyenne</t>
  </si>
  <si>
    <t>5 – 7</t>
  </si>
  <si>
    <t>Forte</t>
  </si>
  <si>
    <r>
      <t xml:space="preserve">Impact final = </t>
    </r>
    <r>
      <rPr>
        <b/>
        <sz val="11"/>
        <color theme="1"/>
        <rFont val="Calibri"/>
        <family val="2"/>
        <scheme val="minor"/>
      </rPr>
      <t>(Intensité + Durée + Étendue) × Sensibilité</t>
    </r>
  </si>
  <si>
    <r>
      <t>0 – 1</t>
    </r>
    <r>
      <rPr>
        <sz val="11"/>
        <color theme="1"/>
        <rFont val="Calibri"/>
        <family val="2"/>
        <scheme val="minor"/>
      </rPr>
      <t xml:space="preserve"> → Impact </t>
    </r>
    <r>
      <rPr>
        <b/>
        <sz val="11"/>
        <color theme="1"/>
        <rFont val="Calibri"/>
        <family val="2"/>
        <scheme val="minor"/>
      </rPr>
      <t>Faible</t>
    </r>
  </si>
  <si>
    <r>
      <t>2 – 3</t>
    </r>
    <r>
      <rPr>
        <sz val="11"/>
        <color theme="1"/>
        <rFont val="Calibri"/>
        <family val="2"/>
        <scheme val="minor"/>
      </rPr>
      <t xml:space="preserve"> → Impact </t>
    </r>
    <r>
      <rPr>
        <b/>
        <sz val="11"/>
        <color theme="1"/>
        <rFont val="Calibri"/>
        <family val="2"/>
        <scheme val="minor"/>
      </rPr>
      <t>Moyen</t>
    </r>
  </si>
  <si>
    <t>4 – 5 → Impact Fort</t>
  </si>
  <si>
    <t>≥ 6 → Impact Très fort / Grave</t>
  </si>
  <si>
    <t>Risques électriques et incendie</t>
  </si>
  <si>
    <t>Poussières</t>
  </si>
  <si>
    <t>kV/m</t>
  </si>
  <si>
    <t>µT</t>
  </si>
  <si>
    <t>V/m</t>
  </si>
  <si>
    <t>W/m²</t>
  </si>
  <si>
    <t>Nombre d’anomalie</t>
  </si>
  <si>
    <t xml:space="preserve">valeure </t>
  </si>
  <si>
    <t xml:space="preserve">I.A+ valeure  =sensibilite </t>
  </si>
  <si>
    <t xml:space="preserve">intensite = REJET </t>
  </si>
  <si>
    <t xml:space="preserve">IMPACTE APPREENDE </t>
  </si>
  <si>
    <t>Valeure Mesure+rejet</t>
  </si>
  <si>
    <t xml:space="preserve">SCORE INTENSITE </t>
  </si>
  <si>
    <t>signalisation</t>
  </si>
  <si>
    <t xml:space="preserve">Transport et circulation </t>
  </si>
  <si>
    <t>demobilisation</t>
  </si>
  <si>
    <t>Excavation</t>
  </si>
  <si>
    <t>Presence physique de prj</t>
  </si>
  <si>
    <t>Gestion des intrants</t>
  </si>
  <si>
    <t>Emision atmospherique</t>
  </si>
  <si>
    <t>Gestion des rejet liquide et solide</t>
  </si>
  <si>
    <t>dementalement et Excavations</t>
  </si>
  <si>
    <t xml:space="preserve">Gestion des dechets </t>
  </si>
  <si>
    <t xml:space="preserve">remis en etat </t>
  </si>
  <si>
    <t>Milieu socio-economoque</t>
  </si>
  <si>
    <t xml:space="preserve">population et qualite de vie </t>
  </si>
  <si>
    <t xml:space="preserve">milieu marin </t>
  </si>
  <si>
    <t xml:space="preserve">Paysage </t>
  </si>
  <si>
    <t xml:space="preserve">Ambiance sonore </t>
  </si>
  <si>
    <t>Milieu</t>
  </si>
  <si>
    <t>Composantes</t>
  </si>
  <si>
    <t>Source d’impact</t>
  </si>
  <si>
    <t>Phase pré-construction</t>
  </si>
  <si>
    <t>Phase réalisation</t>
  </si>
  <si>
    <t>Phase démantèlement</t>
  </si>
  <si>
    <t xml:space="preserve">Prospection préliminaire </t>
  </si>
  <si>
    <t>Signalisation</t>
  </si>
  <si>
    <t>Installation du chantier</t>
  </si>
  <si>
    <t>Transport et circulation</t>
  </si>
  <si>
    <t>Présence de la Base Vie</t>
  </si>
  <si>
    <t>Bâtiments et équipements</t>
  </si>
  <si>
    <t>Rejet liquide et solides</t>
  </si>
  <si>
    <t>Démobilisation</t>
  </si>
  <si>
    <t>Remise en état</t>
  </si>
  <si>
    <t xml:space="preserve">Présence physique du projet  </t>
  </si>
  <si>
    <t xml:space="preserve">Emissions atmosphériques </t>
  </si>
  <si>
    <t xml:space="preserve">Gestion des rejets liquides &amp; solides </t>
  </si>
  <si>
    <t xml:space="preserve">Entretien et réparation </t>
  </si>
  <si>
    <t xml:space="preserve">Démantèlement et Excavation </t>
  </si>
  <si>
    <t xml:space="preserve">Gestion des déchets </t>
  </si>
  <si>
    <t>Milieu physique</t>
  </si>
  <si>
    <t>Sol</t>
  </si>
  <si>
    <t>Air</t>
  </si>
  <si>
    <t xml:space="preserve">Eau </t>
  </si>
  <si>
    <t>Paysage</t>
  </si>
  <si>
    <t>Ambiance sonore</t>
  </si>
  <si>
    <t>Faune</t>
  </si>
  <si>
    <t xml:space="preserve">Milieu marin </t>
  </si>
  <si>
    <t>Population et qualité de vie</t>
  </si>
  <si>
    <t>Milieu Socio-économique</t>
  </si>
  <si>
    <t>Activité socio-économique</t>
  </si>
  <si>
    <t>/emplois</t>
  </si>
  <si>
    <t>Infrastructure et équipement</t>
  </si>
  <si>
    <t xml:space="preserve">Importance mineure </t>
  </si>
  <si>
    <t xml:space="preserve">Importance moyenne </t>
  </si>
  <si>
    <t>Impact positif</t>
  </si>
  <si>
    <t>N</t>
  </si>
  <si>
    <t>Couleur</t>
  </si>
  <si>
    <t>score etendu</t>
  </si>
  <si>
    <t>0,5- 1</t>
  </si>
  <si>
    <t>1-1,5</t>
  </si>
  <si>
    <t>1,5-2</t>
  </si>
  <si>
    <t>0-0,5</t>
  </si>
  <si>
    <t>0,5-1</t>
  </si>
  <si>
    <t>Longue</t>
  </si>
  <si>
    <t>courte</t>
  </si>
  <si>
    <t>longue</t>
  </si>
  <si>
    <t xml:space="preserve">importance </t>
  </si>
  <si>
    <t>temperature</t>
  </si>
  <si>
    <t xml:space="preserve">importance relative </t>
  </si>
  <si>
    <t>Activité socio-économique /Emploi</t>
  </si>
  <si>
    <t>Santé &amp;amp; Sécurité</t>
  </si>
  <si>
    <t>Nombre d’emplois créés</t>
  </si>
  <si>
    <t>taux de maladie (%)</t>
  </si>
  <si>
    <t>Nombre d’équipements ou capacité</t>
  </si>
  <si>
    <t>Intervalle acceptable / Référence internationale</t>
  </si>
  <si>
    <t>Taux d’emploi (%) ou nombre d’emplois</t>
  </si>
  <si>
    <t>Variation ≤ ±5 % du taux d’emploi ou maintien de l’emploi existant (selon OCDE / Banque mondiale)</t>
  </si>
  <si>
    <t>Population et Qualité de vie</t>
  </si>
  <si>
    <t>Nombre de personnes affectées / Indice de qualité de vie (0-100)</t>
  </si>
  <si>
    <t>Variation ≤ ±5 % ; ISO 26000 et recommandations OMS pour le bien-être humain</t>
  </si>
  <si>
    <t>Nombre d’incidents / taux d’accidents (%)</t>
  </si>
  <si>
    <t>0 incident grave ; taux d’accidents ≤ 2 % (OMS, ISO 45001 pour la santé et sécurité au travail)</t>
  </si>
  <si>
    <t>Capacité ou nombre d’équipements</t>
  </si>
  <si>
    <t>Maintien ≥ 90 % de la capacité initiale ; respect des normes locales et ISO 37120 (services urbains et durables)</t>
  </si>
  <si>
    <t>moyenne</t>
  </si>
  <si>
    <t>Rejet de PHASE CONSTRUCTION</t>
  </si>
  <si>
    <t>Population &amp; Qualité de vie</t>
  </si>
  <si>
    <t>Rejet de PRJ</t>
  </si>
  <si>
    <t xml:space="preserve">EX¨PLOITATION  </t>
  </si>
  <si>
    <t xml:space="preserve">critére </t>
  </si>
  <si>
    <t xml:space="preserve">Score totale </t>
  </si>
  <si>
    <t>Milieu
 biologique/FLORE</t>
  </si>
  <si>
    <t>Biodiversité terrestre</t>
  </si>
  <si>
    <t>Biodiversité marine</t>
  </si>
  <si>
    <t xml:space="preserve">MILIEU BIOLOGIQUE/FAUNE </t>
  </si>
  <si>
    <t>mammifères</t>
  </si>
  <si>
    <t>amphibiens</t>
  </si>
  <si>
    <t>reptiles</t>
  </si>
  <si>
    <t>Radiations électromagnétiques éoliennes:Champ électrique/Champ magnétique</t>
  </si>
  <si>
    <t>Radiations électromagnétiques CABLES:Champ électrique/Champ magnétique</t>
  </si>
  <si>
    <t>Radiations électromagnétiques ONDEURS:Champ électrique/Champ magnétique</t>
  </si>
  <si>
    <t>0.1</t>
  </si>
  <si>
    <t>0.5</t>
  </si>
  <si>
    <t>0.053</t>
  </si>
  <si>
    <t>0.01</t>
  </si>
  <si>
    <t>0.003</t>
  </si>
  <si>
    <t>0.05</t>
  </si>
  <si>
    <t>0.02</t>
  </si>
  <si>
    <t>0.001</t>
  </si>
  <si>
    <t xml:space="preserve">Population et Qualité:Indice de qualité de vie
</t>
  </si>
  <si>
    <t> %</t>
  </si>
  <si>
    <t>0.15</t>
  </si>
  <si>
    <t>DB</t>
  </si>
  <si>
    <t xml:space="preserve"> Milieu physique Ambiance sonore:JOUR/NUIT</t>
  </si>
  <si>
    <t xml:space="preserve">payesage </t>
  </si>
  <si>
    <t>Modification du relief</t>
  </si>
  <si>
    <t>non</t>
  </si>
  <si>
    <t>oui</t>
  </si>
  <si>
    <r>
      <t>Intervalle acceptable/</t>
    </r>
    <r>
      <rPr>
        <b/>
        <sz val="14"/>
        <color theme="1"/>
        <rFont val="Times New Roman"/>
        <family val="1"/>
      </rPr>
      <t>MIN</t>
    </r>
  </si>
  <si>
    <r>
      <t>Intervalle acceptable/</t>
    </r>
    <r>
      <rPr>
        <b/>
        <sz val="14"/>
        <color theme="1"/>
        <rFont val="Times New Roman"/>
        <family val="1"/>
      </rPr>
      <t>MAX</t>
    </r>
  </si>
  <si>
    <t>NON</t>
  </si>
  <si>
    <t>Ponctuelle</t>
  </si>
  <si>
    <t>Infrastructures et equipement</t>
  </si>
  <si>
    <t>Score totale</t>
  </si>
  <si>
    <t>score totale</t>
  </si>
  <si>
    <t>Score FINAL</t>
  </si>
  <si>
    <r>
      <rPr>
        <sz val="14"/>
        <color theme="1"/>
        <rFont val="Times New Roman"/>
        <family val="1"/>
      </rPr>
      <t>intensite = REJET</t>
    </r>
    <r>
      <rPr>
        <sz val="14"/>
        <color rgb="FFFF0000"/>
        <rFont val="Times New Roman"/>
        <family val="1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</si>
</sst>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00"/>
  </numFmts>
  <fonts count="3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9C650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FF0000"/>
      <name val="Arial Unicode MS"/>
      <family val="2"/>
    </font>
    <font>
      <sz val="20"/>
      <color theme="1"/>
      <name val="Times New Roman"/>
      <family val="1"/>
    </font>
    <font>
      <sz val="14"/>
      <color theme="1"/>
      <name val="Times New Roman"/>
      <family val="1"/>
    </font>
    <font>
      <sz val="11"/>
      <color rgb="FF000000"/>
      <name val="Calibri"/>
      <family val="2"/>
    </font>
    <font>
      <sz val="12"/>
      <color theme="1"/>
      <name val="Aptos"/>
      <family val="2"/>
    </font>
    <font>
      <sz val="11"/>
      <color rgb="FF000000"/>
      <name val="Arial"/>
      <family val="2"/>
    </font>
    <font>
      <b/>
      <sz val="9"/>
      <color rgb="FF000000"/>
      <name val="Calibri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</font>
    <font>
      <sz val="9"/>
      <color rgb="FF0070C0"/>
      <name val="Calibri"/>
      <family val="2"/>
    </font>
    <font>
      <sz val="9"/>
      <color rgb="FF000000"/>
      <name val="Arial"/>
      <family val="2"/>
    </font>
    <font>
      <i/>
      <sz val="9"/>
      <color rgb="FF000000"/>
      <name val="Arial"/>
      <family val="2"/>
    </font>
    <font>
      <sz val="18"/>
      <color rgb="FF000000"/>
      <name val="Calibri"/>
      <family val="2"/>
    </font>
    <font>
      <b/>
      <sz val="14"/>
      <color theme="1"/>
      <name val="Times New Roman"/>
      <family val="1"/>
    </font>
    <font>
      <sz val="14"/>
      <name val="Times New Roman"/>
      <family val="1"/>
    </font>
    <font>
      <sz val="14"/>
      <color rgb="FFFF0000"/>
      <name val="Times New Roman"/>
      <family val="1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2EDF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DE22A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double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double">
        <color auto="1"/>
      </bottom>
      <diagonal/>
    </border>
    <border>
      <left/>
      <right style="thin">
        <color indexed="64"/>
      </right>
      <top/>
      <bottom style="double">
        <color auto="1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auto="1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/>
      <diagonal/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dashed">
        <color indexed="64"/>
      </left>
      <right/>
      <top/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 diagonalUp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 diagonalUp="1"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</borders>
  <cellStyleXfs count="4">
    <xf numFmtId="0" fontId="0" fillId="0" borderId="0"/>
    <xf numFmtId="49" fontId="7" fillId="9" borderId="35" applyAlignment="0">
      <alignment vertical="center"/>
    </xf>
    <xf numFmtId="0" fontId="8" fillId="9" borderId="35">
      <alignment vertical="center"/>
    </xf>
    <xf numFmtId="9" fontId="6" fillId="0" borderId="0" applyFont="0" applyFill="0" applyBorder="0" applyAlignment="0" applyProtection="0"/>
  </cellStyleXfs>
  <cellXfs count="541">
    <xf numFmtId="0" fontId="0" fillId="0" borderId="0" xfId="0"/>
    <xf numFmtId="0" fontId="0" fillId="0" borderId="1" xfId="0" applyBorder="1"/>
    <xf numFmtId="0" fontId="0" fillId="0" borderId="5" xfId="0" applyBorder="1"/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Border="1"/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0" fontId="0" fillId="0" borderId="18" xfId="0" applyBorder="1" applyAlignment="1">
      <alignment horizontal="left" vertical="center"/>
    </xf>
    <xf numFmtId="0" fontId="0" fillId="0" borderId="30" xfId="0" applyBorder="1" applyAlignment="1">
      <alignment horizontal="center" vertical="center" textRotation="90" wrapText="1"/>
    </xf>
    <xf numFmtId="0" fontId="0" fillId="0" borderId="24" xfId="0" applyBorder="1" applyAlignment="1">
      <alignment horizontal="center" vertical="center" textRotation="90" wrapText="1"/>
    </xf>
    <xf numFmtId="0" fontId="0" fillId="0" borderId="25" xfId="0" applyBorder="1" applyAlignment="1">
      <alignment horizontal="center" vertical="center" textRotation="90" wrapText="1"/>
    </xf>
    <xf numFmtId="0" fontId="0" fillId="0" borderId="33" xfId="0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10" xfId="0" applyBorder="1" applyAlignment="1">
      <alignment vertical="center" wrapText="1"/>
    </xf>
    <xf numFmtId="0" fontId="0" fillId="0" borderId="10" xfId="0" applyBorder="1"/>
    <xf numFmtId="0" fontId="0" fillId="0" borderId="0" xfId="0" applyAlignment="1">
      <alignment wrapText="1"/>
    </xf>
    <xf numFmtId="0" fontId="0" fillId="10" borderId="0" xfId="0" applyFill="1"/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" fillId="0" borderId="1" xfId="0" applyFont="1" applyBorder="1"/>
    <xf numFmtId="0" fontId="1" fillId="0" borderId="1" xfId="0" applyFont="1" applyBorder="1" applyAlignment="1">
      <alignment wrapText="1"/>
    </xf>
    <xf numFmtId="0" fontId="1" fillId="0" borderId="0" xfId="0" applyFont="1" applyAlignment="1">
      <alignment horizontal="left" vertical="center" indent="1"/>
    </xf>
    <xf numFmtId="0" fontId="1" fillId="0" borderId="17" xfId="0" applyFont="1" applyBorder="1" applyAlignment="1">
      <alignment horizontal="center" vertical="center" wrapText="1"/>
    </xf>
    <xf numFmtId="0" fontId="12" fillId="14" borderId="40" xfId="0" applyFont="1" applyFill="1" applyBorder="1" applyAlignment="1">
      <alignment horizontal="center" vertical="center" wrapText="1"/>
    </xf>
    <xf numFmtId="0" fontId="13" fillId="7" borderId="47" xfId="0" applyFont="1" applyFill="1" applyBorder="1" applyAlignment="1">
      <alignment horizontal="center" vertical="center"/>
    </xf>
    <xf numFmtId="0" fontId="13" fillId="7" borderId="47" xfId="0" applyFont="1" applyFill="1" applyBorder="1" applyAlignment="1">
      <alignment horizontal="center" vertical="center" wrapText="1"/>
    </xf>
    <xf numFmtId="0" fontId="13" fillId="7" borderId="48" xfId="0" applyFont="1" applyFill="1" applyBorder="1" applyAlignment="1">
      <alignment horizontal="center" vertical="center" wrapText="1"/>
    </xf>
    <xf numFmtId="0" fontId="13" fillId="7" borderId="51" xfId="0" applyFont="1" applyFill="1" applyBorder="1" applyAlignment="1">
      <alignment horizontal="center" vertical="center"/>
    </xf>
    <xf numFmtId="0" fontId="0" fillId="15" borderId="0" xfId="0" applyFill="1"/>
    <xf numFmtId="0" fontId="0" fillId="0" borderId="23" xfId="0" applyBorder="1" applyAlignment="1">
      <alignment horizontal="center" vertical="center" textRotation="90" wrapText="1"/>
    </xf>
    <xf numFmtId="0" fontId="0" fillId="0" borderId="56" xfId="0" applyBorder="1" applyAlignment="1">
      <alignment vertical="center"/>
    </xf>
    <xf numFmtId="0" fontId="0" fillId="0" borderId="22" xfId="0" applyBorder="1" applyAlignment="1">
      <alignment vertical="center"/>
    </xf>
    <xf numFmtId="0" fontId="18" fillId="0" borderId="68" xfId="0" applyFont="1" applyBorder="1" applyAlignment="1">
      <alignment vertical="center" textRotation="90"/>
    </xf>
    <xf numFmtId="0" fontId="18" fillId="0" borderId="64" xfId="0" applyFont="1" applyBorder="1" applyAlignment="1">
      <alignment vertical="center" textRotation="90"/>
    </xf>
    <xf numFmtId="0" fontId="18" fillId="0" borderId="69" xfId="0" applyFont="1" applyBorder="1" applyAlignment="1">
      <alignment vertical="center" textRotation="90" wrapText="1"/>
    </xf>
    <xf numFmtId="0" fontId="18" fillId="0" borderId="69" xfId="0" applyFont="1" applyBorder="1" applyAlignment="1">
      <alignment vertical="center" textRotation="90"/>
    </xf>
    <xf numFmtId="0" fontId="18" fillId="0" borderId="65" xfId="0" applyFont="1" applyBorder="1" applyAlignment="1">
      <alignment vertical="center" textRotation="90" wrapText="1"/>
    </xf>
    <xf numFmtId="0" fontId="20" fillId="4" borderId="70" xfId="0" applyFont="1" applyFill="1" applyBorder="1" applyAlignment="1">
      <alignment horizontal="center" vertical="center"/>
    </xf>
    <xf numFmtId="0" fontId="20" fillId="4" borderId="67" xfId="0" applyFont="1" applyFill="1" applyBorder="1" applyAlignment="1">
      <alignment horizontal="center" vertical="center"/>
    </xf>
    <xf numFmtId="0" fontId="20" fillId="4" borderId="70" xfId="0" applyFont="1" applyFill="1" applyBorder="1" applyAlignment="1">
      <alignment horizontal="center" vertical="center" wrapText="1"/>
    </xf>
    <xf numFmtId="0" fontId="19" fillId="0" borderId="70" xfId="0" applyFont="1" applyBorder="1" applyAlignment="1">
      <alignment vertical="center"/>
    </xf>
    <xf numFmtId="0" fontId="20" fillId="16" borderId="70" xfId="0" applyFont="1" applyFill="1" applyBorder="1" applyAlignment="1">
      <alignment horizontal="center" vertical="center"/>
    </xf>
    <xf numFmtId="0" fontId="20" fillId="0" borderId="70" xfId="0" applyFont="1" applyBorder="1" applyAlignment="1">
      <alignment horizontal="center" vertical="center" wrapText="1"/>
    </xf>
    <xf numFmtId="0" fontId="20" fillId="4" borderId="67" xfId="0" applyFont="1" applyFill="1" applyBorder="1" applyAlignment="1">
      <alignment horizontal="center" vertical="center" wrapText="1"/>
    </xf>
    <xf numFmtId="0" fontId="21" fillId="17" borderId="70" xfId="0" applyFont="1" applyFill="1" applyBorder="1" applyAlignment="1">
      <alignment horizontal="center" vertical="center"/>
    </xf>
    <xf numFmtId="0" fontId="21" fillId="4" borderId="67" xfId="0" applyFont="1" applyFill="1" applyBorder="1" applyAlignment="1">
      <alignment horizontal="center" vertical="center" wrapText="1"/>
    </xf>
    <xf numFmtId="0" fontId="20" fillId="12" borderId="70" xfId="0" applyFont="1" applyFill="1" applyBorder="1" applyAlignment="1">
      <alignment horizontal="center" vertical="center" wrapText="1"/>
    </xf>
    <xf numFmtId="0" fontId="20" fillId="0" borderId="70" xfId="0" applyFont="1" applyBorder="1" applyAlignment="1">
      <alignment vertical="center"/>
    </xf>
    <xf numFmtId="0" fontId="19" fillId="16" borderId="70" xfId="0" applyFont="1" applyFill="1" applyBorder="1" applyAlignment="1">
      <alignment vertical="center"/>
    </xf>
    <xf numFmtId="0" fontId="19" fillId="0" borderId="70" xfId="0" applyFont="1" applyBorder="1" applyAlignment="1">
      <alignment horizontal="center" vertical="center" wrapText="1"/>
    </xf>
    <xf numFmtId="0" fontId="19" fillId="12" borderId="70" xfId="0" applyFont="1" applyFill="1" applyBorder="1" applyAlignment="1">
      <alignment vertical="center" wrapText="1"/>
    </xf>
    <xf numFmtId="0" fontId="20" fillId="0" borderId="67" xfId="0" applyFont="1" applyBorder="1" applyAlignment="1">
      <alignment horizontal="center" vertical="center" wrapText="1"/>
    </xf>
    <xf numFmtId="0" fontId="19" fillId="4" borderId="70" xfId="0" applyFont="1" applyFill="1" applyBorder="1" applyAlignment="1">
      <alignment vertical="center"/>
    </xf>
    <xf numFmtId="0" fontId="19" fillId="4" borderId="67" xfId="0" applyFont="1" applyFill="1" applyBorder="1" applyAlignment="1">
      <alignment vertical="center" wrapText="1"/>
    </xf>
    <xf numFmtId="0" fontId="19" fillId="4" borderId="67" xfId="0" applyFont="1" applyFill="1" applyBorder="1" applyAlignment="1">
      <alignment vertical="center"/>
    </xf>
    <xf numFmtId="0" fontId="19" fillId="4" borderId="70" xfId="0" applyFont="1" applyFill="1" applyBorder="1" applyAlignment="1">
      <alignment vertical="center" wrapText="1"/>
    </xf>
    <xf numFmtId="0" fontId="20" fillId="16" borderId="70" xfId="0" applyFont="1" applyFill="1" applyBorder="1" applyAlignment="1">
      <alignment horizontal="center" vertical="center" wrapText="1"/>
    </xf>
    <xf numFmtId="0" fontId="20" fillId="17" borderId="70" xfId="0" applyFont="1" applyFill="1" applyBorder="1" applyAlignment="1">
      <alignment horizontal="center" vertical="center"/>
    </xf>
    <xf numFmtId="0" fontId="19" fillId="4" borderId="70" xfId="0" applyFont="1" applyFill="1" applyBorder="1" applyAlignment="1">
      <alignment horizontal="center" vertical="center"/>
    </xf>
    <xf numFmtId="0" fontId="20" fillId="0" borderId="67" xfId="0" applyFont="1" applyBorder="1" applyAlignment="1">
      <alignment horizontal="center" vertical="center"/>
    </xf>
    <xf numFmtId="0" fontId="20" fillId="0" borderId="70" xfId="0" applyFont="1" applyBorder="1" applyAlignment="1">
      <alignment horizontal="center" vertical="center"/>
    </xf>
    <xf numFmtId="0" fontId="19" fillId="17" borderId="70" xfId="0" applyFont="1" applyFill="1" applyBorder="1" applyAlignment="1">
      <alignment vertical="center"/>
    </xf>
    <xf numFmtId="0" fontId="19" fillId="0" borderId="67" xfId="0" applyFont="1" applyBorder="1" applyAlignment="1">
      <alignment vertical="center"/>
    </xf>
    <xf numFmtId="0" fontId="19" fillId="0" borderId="70" xfId="0" applyFont="1" applyBorder="1" applyAlignment="1">
      <alignment vertical="center" wrapText="1"/>
    </xf>
    <xf numFmtId="0" fontId="19" fillId="0" borderId="67" xfId="0" applyFont="1" applyBorder="1" applyAlignment="1">
      <alignment vertical="center" wrapText="1"/>
    </xf>
    <xf numFmtId="0" fontId="21" fillId="0" borderId="67" xfId="0" applyFont="1" applyBorder="1" applyAlignment="1">
      <alignment horizontal="center" vertical="center" wrapText="1"/>
    </xf>
    <xf numFmtId="0" fontId="19" fillId="0" borderId="68" xfId="0" applyFont="1" applyBorder="1" applyAlignment="1">
      <alignment vertical="center"/>
    </xf>
    <xf numFmtId="0" fontId="20" fillId="4" borderId="68" xfId="0" applyFont="1" applyFill="1" applyBorder="1" applyAlignment="1">
      <alignment horizontal="center" vertical="center"/>
    </xf>
    <xf numFmtId="0" fontId="20" fillId="4" borderId="64" xfId="0" applyFont="1" applyFill="1" applyBorder="1" applyAlignment="1">
      <alignment horizontal="center" vertical="center"/>
    </xf>
    <xf numFmtId="0" fontId="20" fillId="4" borderId="68" xfId="0" applyFont="1" applyFill="1" applyBorder="1" applyAlignment="1">
      <alignment horizontal="center" vertical="center" wrapText="1"/>
    </xf>
    <xf numFmtId="0" fontId="19" fillId="4" borderId="68" xfId="0" applyFont="1" applyFill="1" applyBorder="1" applyAlignment="1">
      <alignment vertical="center"/>
    </xf>
    <xf numFmtId="0" fontId="20" fillId="0" borderId="68" xfId="0" applyFont="1" applyBorder="1" applyAlignment="1">
      <alignment vertical="center"/>
    </xf>
    <xf numFmtId="0" fontId="19" fillId="0" borderId="68" xfId="0" applyFont="1" applyBorder="1" applyAlignment="1">
      <alignment horizontal="center" vertical="center" wrapText="1"/>
    </xf>
    <xf numFmtId="0" fontId="19" fillId="0" borderId="68" xfId="0" applyFont="1" applyBorder="1" applyAlignment="1">
      <alignment vertical="center" wrapText="1"/>
    </xf>
    <xf numFmtId="0" fontId="20" fillId="0" borderId="64" xfId="0" applyFont="1" applyBorder="1" applyAlignment="1">
      <alignment horizontal="center" vertical="center" wrapText="1"/>
    </xf>
    <xf numFmtId="0" fontId="21" fillId="16" borderId="68" xfId="0" applyFont="1" applyFill="1" applyBorder="1" applyAlignment="1">
      <alignment horizontal="center" vertical="center"/>
    </xf>
    <xf numFmtId="0" fontId="19" fillId="17" borderId="68" xfId="0" applyFont="1" applyFill="1" applyBorder="1" applyAlignment="1">
      <alignment vertical="center"/>
    </xf>
    <xf numFmtId="0" fontId="19" fillId="4" borderId="64" xfId="0" applyFont="1" applyFill="1" applyBorder="1" applyAlignment="1">
      <alignment horizontal="center" vertical="center" wrapText="1"/>
    </xf>
    <xf numFmtId="0" fontId="20" fillId="4" borderId="70" xfId="0" applyFont="1" applyFill="1" applyBorder="1" applyAlignment="1">
      <alignment vertical="center"/>
    </xf>
    <xf numFmtId="0" fontId="19" fillId="16" borderId="70" xfId="0" applyFont="1" applyFill="1" applyBorder="1" applyAlignment="1">
      <alignment horizontal="center" vertical="center" wrapText="1"/>
    </xf>
    <xf numFmtId="0" fontId="20" fillId="16" borderId="67" xfId="0" applyFont="1" applyFill="1" applyBorder="1" applyAlignment="1">
      <alignment horizontal="center" vertical="center" wrapText="1"/>
    </xf>
    <xf numFmtId="0" fontId="21" fillId="4" borderId="70" xfId="0" applyFont="1" applyFill="1" applyBorder="1" applyAlignment="1">
      <alignment horizontal="center" vertical="center"/>
    </xf>
    <xf numFmtId="0" fontId="19" fillId="0" borderId="64" xfId="0" applyFont="1" applyBorder="1" applyAlignment="1">
      <alignment vertical="center"/>
    </xf>
    <xf numFmtId="0" fontId="19" fillId="12" borderId="68" xfId="0" applyFont="1" applyFill="1" applyBorder="1" applyAlignment="1">
      <alignment vertical="center"/>
    </xf>
    <xf numFmtId="0" fontId="19" fillId="0" borderId="64" xfId="0" applyFont="1" applyBorder="1" applyAlignment="1">
      <alignment vertical="center" wrapText="1"/>
    </xf>
    <xf numFmtId="0" fontId="19" fillId="16" borderId="67" xfId="0" applyFont="1" applyFill="1" applyBorder="1" applyAlignment="1">
      <alignment vertical="center" wrapText="1"/>
    </xf>
    <xf numFmtId="0" fontId="20" fillId="0" borderId="68" xfId="0" applyFont="1" applyBorder="1" applyAlignment="1">
      <alignment horizontal="center" vertical="center" wrapText="1"/>
    </xf>
    <xf numFmtId="0" fontId="19" fillId="4" borderId="64" xfId="0" applyFont="1" applyFill="1" applyBorder="1" applyAlignment="1">
      <alignment vertical="center"/>
    </xf>
    <xf numFmtId="0" fontId="19" fillId="16" borderId="68" xfId="0" applyFont="1" applyFill="1" applyBorder="1" applyAlignment="1">
      <alignment vertical="center"/>
    </xf>
    <xf numFmtId="0" fontId="19" fillId="4" borderId="67" xfId="0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22" fillId="4" borderId="71" xfId="0" applyFont="1" applyFill="1" applyBorder="1" applyAlignment="1">
      <alignment vertical="center"/>
    </xf>
    <xf numFmtId="0" fontId="22" fillId="18" borderId="74" xfId="0" applyFont="1" applyFill="1" applyBorder="1" applyAlignment="1">
      <alignment vertical="center"/>
    </xf>
    <xf numFmtId="0" fontId="22" fillId="17" borderId="74" xfId="0" applyFont="1" applyFill="1" applyBorder="1" applyAlignment="1">
      <alignment vertical="center"/>
    </xf>
    <xf numFmtId="0" fontId="0" fillId="0" borderId="0" xfId="0" applyAlignment="1">
      <alignment horizontal="center" vertical="center" textRotation="90" wrapText="1"/>
    </xf>
    <xf numFmtId="16" fontId="0" fillId="0" borderId="1" xfId="0" applyNumberFormat="1" applyBorder="1" applyAlignment="1">
      <alignment vertical="center" wrapText="1"/>
    </xf>
    <xf numFmtId="16" fontId="0" fillId="0" borderId="93" xfId="0" applyNumberFormat="1" applyBorder="1"/>
    <xf numFmtId="0" fontId="0" fillId="0" borderId="93" xfId="0" applyBorder="1" applyAlignment="1">
      <alignment wrapText="1"/>
    </xf>
    <xf numFmtId="0" fontId="4" fillId="0" borderId="4" xfId="0" applyFont="1" applyBorder="1" applyAlignment="1">
      <alignment horizontal="center" vertical="center"/>
    </xf>
    <xf numFmtId="0" fontId="13" fillId="7" borderId="2" xfId="0" applyFont="1" applyFill="1" applyBorder="1" applyAlignment="1">
      <alignment horizontal="center" vertical="center" wrapText="1"/>
    </xf>
    <xf numFmtId="0" fontId="24" fillId="14" borderId="1" xfId="0" applyFont="1" applyFill="1" applyBorder="1" applyAlignment="1">
      <alignment horizontal="justify" vertical="center" textRotation="90"/>
    </xf>
    <xf numFmtId="0" fontId="24" fillId="14" borderId="1" xfId="0" applyFont="1" applyFill="1" applyBorder="1" applyAlignment="1">
      <alignment vertical="center" textRotation="90" wrapText="1"/>
    </xf>
    <xf numFmtId="0" fontId="24" fillId="14" borderId="1" xfId="0" applyFont="1" applyFill="1" applyBorder="1" applyAlignment="1">
      <alignment vertical="center" textRotation="90"/>
    </xf>
    <xf numFmtId="0" fontId="13" fillId="7" borderId="17" xfId="0" applyFont="1" applyFill="1" applyBorder="1" applyAlignment="1">
      <alignment horizontal="center" vertical="center" wrapText="1"/>
    </xf>
    <xf numFmtId="0" fontId="13" fillId="7" borderId="51" xfId="0" applyFont="1" applyFill="1" applyBorder="1" applyAlignment="1">
      <alignment horizontal="center" vertical="center" wrapText="1"/>
    </xf>
    <xf numFmtId="0" fontId="0" fillId="0" borderId="53" xfId="0" applyBorder="1"/>
    <xf numFmtId="0" fontId="1" fillId="0" borderId="16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0" fillId="0" borderId="19" xfId="0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13" fillId="7" borderId="10" xfId="0" applyFont="1" applyFill="1" applyBorder="1" applyAlignment="1">
      <alignment horizontal="center" vertical="center" wrapText="1"/>
    </xf>
    <xf numFmtId="0" fontId="18" fillId="8" borderId="69" xfId="0" applyFont="1" applyFill="1" applyBorder="1" applyAlignment="1">
      <alignment horizontal="justify" vertical="center" textRotation="90"/>
    </xf>
    <xf numFmtId="0" fontId="18" fillId="8" borderId="69" xfId="0" applyFont="1" applyFill="1" applyBorder="1" applyAlignment="1">
      <alignment vertical="center" textRotation="90" wrapText="1"/>
    </xf>
    <xf numFmtId="0" fontId="18" fillId="8" borderId="69" xfId="0" applyFont="1" applyFill="1" applyBorder="1" applyAlignment="1">
      <alignment vertical="center" textRotation="90"/>
    </xf>
    <xf numFmtId="0" fontId="18" fillId="8" borderId="65" xfId="0" applyFont="1" applyFill="1" applyBorder="1" applyAlignment="1">
      <alignment vertical="center" textRotation="90" wrapText="1"/>
    </xf>
    <xf numFmtId="0" fontId="13" fillId="7" borderId="98" xfId="0" applyFont="1" applyFill="1" applyBorder="1" applyAlignment="1">
      <alignment horizontal="center"/>
    </xf>
    <xf numFmtId="0" fontId="13" fillId="7" borderId="48" xfId="0" applyFont="1" applyFill="1" applyBorder="1" applyAlignment="1">
      <alignment horizontal="center" wrapText="1"/>
    </xf>
    <xf numFmtId="0" fontId="13" fillId="7" borderId="47" xfId="0" applyFont="1" applyFill="1" applyBorder="1" applyAlignment="1">
      <alignment horizontal="center"/>
    </xf>
    <xf numFmtId="0" fontId="13" fillId="7" borderId="47" xfId="0" applyFont="1" applyFill="1" applyBorder="1" applyAlignment="1">
      <alignment horizontal="center" wrapText="1"/>
    </xf>
    <xf numFmtId="0" fontId="13" fillId="7" borderId="48" xfId="0" applyFont="1" applyFill="1" applyBorder="1" applyAlignment="1">
      <alignment horizontal="center"/>
    </xf>
    <xf numFmtId="0" fontId="13" fillId="7" borderId="2" xfId="0" applyFont="1" applyFill="1" applyBorder="1" applyAlignment="1">
      <alignment horizontal="center" wrapText="1"/>
    </xf>
    <xf numFmtId="0" fontId="13" fillId="7" borderId="10" xfId="0" applyFont="1" applyFill="1" applyBorder="1" applyAlignment="1">
      <alignment horizontal="center" wrapText="1"/>
    </xf>
    <xf numFmtId="0" fontId="13" fillId="14" borderId="40" xfId="0" applyFont="1" applyFill="1" applyBorder="1" applyAlignment="1">
      <alignment horizontal="center" vertical="center" wrapText="1"/>
    </xf>
    <xf numFmtId="0" fontId="13" fillId="14" borderId="9" xfId="0" applyFont="1" applyFill="1" applyBorder="1" applyAlignment="1">
      <alignment horizontal="center" vertical="center" wrapText="1"/>
    </xf>
    <xf numFmtId="0" fontId="13" fillId="14" borderId="9" xfId="0" applyFont="1" applyFill="1" applyBorder="1" applyAlignment="1">
      <alignment horizontal="center" wrapText="1"/>
    </xf>
    <xf numFmtId="0" fontId="13" fillId="14" borderId="9" xfId="0" applyFont="1" applyFill="1" applyBorder="1" applyAlignment="1">
      <alignment horizontal="left" vertical="center" wrapText="1"/>
    </xf>
    <xf numFmtId="0" fontId="13" fillId="14" borderId="54" xfId="0" applyFont="1" applyFill="1" applyBorder="1" applyAlignment="1">
      <alignment horizontal="center" vertical="center" wrapText="1"/>
    </xf>
    <xf numFmtId="0" fontId="13" fillId="14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13" fillId="2" borderId="3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horizontal="center" wrapText="1"/>
    </xf>
    <xf numFmtId="0" fontId="13" fillId="0" borderId="1" xfId="0" applyFont="1" applyBorder="1"/>
    <xf numFmtId="0" fontId="13" fillId="0" borderId="3" xfId="0" applyFont="1" applyBorder="1"/>
    <xf numFmtId="0" fontId="13" fillId="0" borderId="34" xfId="0" applyFont="1" applyBorder="1" applyAlignment="1">
      <alignment horizontal="center" vertical="center"/>
    </xf>
    <xf numFmtId="2" fontId="13" fillId="0" borderId="37" xfId="0" applyNumberFormat="1" applyFont="1" applyBorder="1" applyAlignment="1">
      <alignment horizontal="right" vertical="center"/>
    </xf>
    <xf numFmtId="0" fontId="13" fillId="2" borderId="1" xfId="0" applyFont="1" applyFill="1" applyBorder="1" applyAlignment="1">
      <alignment vertical="center" wrapText="1"/>
    </xf>
    <xf numFmtId="0" fontId="13" fillId="2" borderId="1" xfId="0" applyFont="1" applyFill="1" applyBorder="1" applyAlignment="1">
      <alignment horizont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right" vertical="center"/>
    </xf>
    <xf numFmtId="0" fontId="13" fillId="2" borderId="2" xfId="0" applyFont="1" applyFill="1" applyBorder="1" applyAlignment="1">
      <alignment horizontal="center" wrapText="1"/>
    </xf>
    <xf numFmtId="0" fontId="25" fillId="2" borderId="7" xfId="0" applyFont="1" applyFill="1" applyBorder="1" applyAlignment="1">
      <alignment vertical="center" wrapText="1"/>
    </xf>
    <xf numFmtId="0" fontId="25" fillId="2" borderId="1" xfId="0" applyFont="1" applyFill="1" applyBorder="1" applyAlignment="1">
      <alignment horizontal="center" wrapText="1"/>
    </xf>
    <xf numFmtId="0" fontId="13" fillId="0" borderId="5" xfId="0" applyFont="1" applyBorder="1"/>
    <xf numFmtId="0" fontId="13" fillId="2" borderId="32" xfId="0" applyFont="1" applyFill="1" applyBorder="1" applyAlignment="1">
      <alignment vertical="center" wrapText="1"/>
    </xf>
    <xf numFmtId="0" fontId="13" fillId="2" borderId="10" xfId="0" applyFont="1" applyFill="1" applyBorder="1" applyAlignment="1">
      <alignment horizontal="center" wrapText="1"/>
    </xf>
    <xf numFmtId="0" fontId="13" fillId="0" borderId="10" xfId="0" applyFont="1" applyBorder="1"/>
    <xf numFmtId="0" fontId="13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right" vertical="center"/>
    </xf>
    <xf numFmtId="0" fontId="13" fillId="3" borderId="6" xfId="0" applyFont="1" applyFill="1" applyBorder="1" applyAlignment="1">
      <alignment vertical="center" wrapText="1"/>
    </xf>
    <xf numFmtId="0" fontId="13" fillId="3" borderId="3" xfId="0" applyFont="1" applyFill="1" applyBorder="1" applyAlignment="1">
      <alignment horizontal="center" wrapText="1"/>
    </xf>
    <xf numFmtId="0" fontId="26" fillId="0" borderId="3" xfId="0" applyFont="1" applyBorder="1"/>
    <xf numFmtId="0" fontId="13" fillId="3" borderId="8" xfId="0" applyFont="1" applyFill="1" applyBorder="1" applyAlignment="1">
      <alignment vertical="center" wrapText="1"/>
    </xf>
    <xf numFmtId="0" fontId="13" fillId="3" borderId="1" xfId="0" applyFont="1" applyFill="1" applyBorder="1" applyAlignment="1">
      <alignment horizontal="center" wrapText="1"/>
    </xf>
    <xf numFmtId="0" fontId="13" fillId="0" borderId="1" xfId="0" applyFont="1" applyBorder="1" applyAlignment="1">
      <alignment wrapText="1"/>
    </xf>
    <xf numFmtId="0" fontId="25" fillId="3" borderId="7" xfId="0" applyFont="1" applyFill="1" applyBorder="1" applyAlignment="1">
      <alignment vertical="center" wrapText="1"/>
    </xf>
    <xf numFmtId="0" fontId="25" fillId="3" borderId="1" xfId="0" applyFont="1" applyFill="1" applyBorder="1" applyAlignment="1">
      <alignment horizontal="center" wrapText="1"/>
    </xf>
    <xf numFmtId="0" fontId="13" fillId="0" borderId="36" xfId="0" applyFont="1" applyBorder="1"/>
    <xf numFmtId="0" fontId="13" fillId="0" borderId="52" xfId="0" applyFont="1" applyBorder="1"/>
    <xf numFmtId="0" fontId="13" fillId="3" borderId="10" xfId="0" applyFont="1" applyFill="1" applyBorder="1" applyAlignment="1">
      <alignment vertical="center" wrapText="1"/>
    </xf>
    <xf numFmtId="0" fontId="13" fillId="3" borderId="10" xfId="0" applyFont="1" applyFill="1" applyBorder="1" applyAlignment="1">
      <alignment horizontal="center" wrapText="1"/>
    </xf>
    <xf numFmtId="0" fontId="13" fillId="0" borderId="38" xfId="0" applyFont="1" applyBorder="1"/>
    <xf numFmtId="0" fontId="13" fillId="5" borderId="17" xfId="0" applyFont="1" applyFill="1" applyBorder="1" applyAlignment="1">
      <alignment vertical="center" wrapText="1"/>
    </xf>
    <xf numFmtId="0" fontId="13" fillId="5" borderId="17" xfId="0" applyFont="1" applyFill="1" applyBorder="1" applyAlignment="1">
      <alignment horizontal="center" wrapText="1"/>
    </xf>
    <xf numFmtId="0" fontId="13" fillId="0" borderId="17" xfId="0" applyFont="1" applyBorder="1"/>
    <xf numFmtId="0" fontId="13" fillId="0" borderId="3" xfId="0" applyFont="1" applyBorder="1" applyAlignment="1">
      <alignment horizontal="right" vertical="center"/>
    </xf>
    <xf numFmtId="0" fontId="13" fillId="5" borderId="1" xfId="0" applyFont="1" applyFill="1" applyBorder="1" applyAlignment="1">
      <alignment vertical="center" wrapText="1"/>
    </xf>
    <xf numFmtId="0" fontId="13" fillId="5" borderId="1" xfId="0" applyFont="1" applyFill="1" applyBorder="1" applyAlignment="1">
      <alignment horizontal="center" wrapText="1"/>
    </xf>
    <xf numFmtId="0" fontId="13" fillId="0" borderId="2" xfId="0" applyFont="1" applyBorder="1"/>
    <xf numFmtId="0" fontId="13" fillId="0" borderId="4" xfId="0" applyFont="1" applyBorder="1"/>
    <xf numFmtId="0" fontId="13" fillId="0" borderId="17" xfId="0" applyFont="1" applyBorder="1" applyAlignment="1">
      <alignment horizontal="right" vertical="center" wrapText="1"/>
    </xf>
    <xf numFmtId="0" fontId="13" fillId="0" borderId="17" xfId="0" applyFont="1" applyBorder="1" applyAlignment="1">
      <alignment horizontal="right" vertical="center"/>
    </xf>
    <xf numFmtId="0" fontId="13" fillId="0" borderId="1" xfId="0" applyFont="1" applyBorder="1" applyAlignment="1">
      <alignment vertical="center" wrapText="1"/>
    </xf>
    <xf numFmtId="0" fontId="13" fillId="0" borderId="2" xfId="0" applyFont="1" applyBorder="1" applyAlignment="1">
      <alignment vertical="center" wrapText="1"/>
    </xf>
    <xf numFmtId="0" fontId="13" fillId="0" borderId="2" xfId="0" applyFont="1" applyBorder="1" applyAlignment="1">
      <alignment horizontal="right" vertical="center"/>
    </xf>
    <xf numFmtId="0" fontId="13" fillId="0" borderId="95" xfId="0" applyFont="1" applyBorder="1"/>
    <xf numFmtId="0" fontId="13" fillId="0" borderId="3" xfId="0" applyFont="1" applyBorder="1" applyAlignment="1">
      <alignment wrapText="1"/>
    </xf>
    <xf numFmtId="0" fontId="13" fillId="0" borderId="3" xfId="0" applyFont="1" applyBorder="1" applyAlignment="1">
      <alignment horizontal="right"/>
    </xf>
    <xf numFmtId="0" fontId="13" fillId="14" borderId="99" xfId="0" applyFont="1" applyFill="1" applyBorder="1" applyAlignment="1">
      <alignment horizontal="center" vertical="center" wrapText="1"/>
    </xf>
    <xf numFmtId="0" fontId="13" fillId="0" borderId="38" xfId="0" applyFont="1" applyBorder="1" applyAlignment="1">
      <alignment horizontal="center" vertical="center" wrapText="1"/>
    </xf>
    <xf numFmtId="0" fontId="25" fillId="7" borderId="97" xfId="0" applyFont="1" applyFill="1" applyBorder="1" applyAlignment="1">
      <alignment vertical="center" wrapText="1"/>
    </xf>
    <xf numFmtId="0" fontId="25" fillId="7" borderId="53" xfId="0" applyFont="1" applyFill="1" applyBorder="1" applyAlignment="1">
      <alignment vertical="center" wrapText="1"/>
    </xf>
    <xf numFmtId="0" fontId="13" fillId="0" borderId="96" xfId="0" applyFont="1" applyBorder="1" applyAlignment="1">
      <alignment vertical="center" wrapText="1"/>
    </xf>
    <xf numFmtId="2" fontId="13" fillId="0" borderId="38" xfId="0" applyNumberFormat="1" applyFont="1" applyBorder="1" applyAlignment="1">
      <alignment vertical="center"/>
    </xf>
    <xf numFmtId="0" fontId="13" fillId="0" borderId="4" xfId="0" applyFont="1" applyBorder="1" applyAlignment="1">
      <alignment vertical="center"/>
    </xf>
    <xf numFmtId="0" fontId="13" fillId="0" borderId="38" xfId="0" applyFont="1" applyBorder="1" applyAlignment="1">
      <alignment vertical="center"/>
    </xf>
    <xf numFmtId="0" fontId="13" fillId="0" borderId="102" xfId="0" applyFont="1" applyBorder="1"/>
    <xf numFmtId="0" fontId="13" fillId="0" borderId="103" xfId="0" applyFont="1" applyBorder="1"/>
    <xf numFmtId="0" fontId="13" fillId="0" borderId="24" xfId="0" applyFont="1" applyBorder="1" applyAlignment="1">
      <alignment horizontal="center" vertical="center"/>
    </xf>
    <xf numFmtId="0" fontId="13" fillId="7" borderId="17" xfId="0" applyFont="1" applyFill="1" applyBorder="1" applyAlignment="1">
      <alignment horizontal="center"/>
    </xf>
    <xf numFmtId="0" fontId="13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right"/>
    </xf>
    <xf numFmtId="0" fontId="13" fillId="0" borderId="17" xfId="0" applyFont="1" applyBorder="1" applyAlignment="1">
      <alignment horizontal="center" vertical="center"/>
    </xf>
    <xf numFmtId="0" fontId="13" fillId="7" borderId="38" xfId="0" applyFont="1" applyFill="1" applyBorder="1" applyAlignment="1">
      <alignment vertical="center" wrapText="1"/>
    </xf>
    <xf numFmtId="0" fontId="24" fillId="14" borderId="5" xfId="0" applyFont="1" applyFill="1" applyBorder="1" applyAlignment="1">
      <alignment horizontal="justify" vertical="center" textRotation="90"/>
    </xf>
    <xf numFmtId="0" fontId="4" fillId="0" borderId="50" xfId="0" applyFont="1" applyBorder="1" applyAlignment="1">
      <alignment horizontal="center" vertical="center"/>
    </xf>
    <xf numFmtId="0" fontId="0" fillId="0" borderId="94" xfId="0" applyBorder="1"/>
    <xf numFmtId="0" fontId="0" fillId="0" borderId="27" xfId="0" applyBorder="1"/>
    <xf numFmtId="0" fontId="27" fillId="0" borderId="0" xfId="0" applyFont="1" applyAlignment="1">
      <alignment horizontal="center"/>
    </xf>
    <xf numFmtId="0" fontId="27" fillId="14" borderId="9" xfId="0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19" borderId="1" xfId="0" applyFont="1" applyFill="1" applyBorder="1" applyAlignment="1">
      <alignment horizontal="center" vertical="center" wrapText="1"/>
    </xf>
    <xf numFmtId="0" fontId="28" fillId="19" borderId="1" xfId="0" applyFont="1" applyFill="1" applyBorder="1"/>
    <xf numFmtId="0" fontId="4" fillId="20" borderId="1" xfId="0" applyFont="1" applyFill="1" applyBorder="1" applyAlignment="1">
      <alignment horizontal="center" vertical="center"/>
    </xf>
    <xf numFmtId="0" fontId="4" fillId="20" borderId="1" xfId="0" applyFont="1" applyFill="1" applyBorder="1" applyAlignment="1">
      <alignment horizontal="center" vertical="center" wrapText="1"/>
    </xf>
    <xf numFmtId="0" fontId="29" fillId="20" borderId="1" xfId="0" applyFont="1" applyFill="1" applyBorder="1" applyAlignment="1">
      <alignment horizontal="center" vertical="center" wrapText="1"/>
    </xf>
    <xf numFmtId="0" fontId="28" fillId="20" borderId="1" xfId="0" applyFont="1" applyFill="1" applyBorder="1"/>
    <xf numFmtId="0" fontId="4" fillId="20" borderId="2" xfId="0" applyFont="1" applyFill="1" applyBorder="1" applyAlignment="1">
      <alignment horizontal="center" vertical="center" wrapText="1"/>
    </xf>
    <xf numFmtId="0" fontId="29" fillId="14" borderId="1" xfId="0" applyFont="1" applyFill="1" applyBorder="1" applyAlignment="1">
      <alignment horizontal="center" vertical="center" wrapText="1"/>
    </xf>
    <xf numFmtId="0" fontId="29" fillId="14" borderId="1" xfId="0" applyFont="1" applyFill="1" applyBorder="1" applyAlignment="1">
      <alignment horizontal="center" vertical="center"/>
    </xf>
    <xf numFmtId="0" fontId="32" fillId="14" borderId="1" xfId="0" applyFont="1" applyFill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13" fillId="0" borderId="27" xfId="0" applyFont="1" applyBorder="1"/>
    <xf numFmtId="0" fontId="26" fillId="0" borderId="11" xfId="0" applyFont="1" applyBorder="1"/>
    <xf numFmtId="0" fontId="13" fillId="0" borderId="5" xfId="0" applyFont="1" applyBorder="1" applyAlignment="1">
      <alignment wrapText="1"/>
    </xf>
    <xf numFmtId="0" fontId="13" fillId="0" borderId="105" xfId="0" applyFont="1" applyBorder="1"/>
    <xf numFmtId="0" fontId="13" fillId="0" borderId="106" xfId="0" applyFont="1" applyBorder="1"/>
    <xf numFmtId="0" fontId="13" fillId="0" borderId="26" xfId="0" applyFont="1" applyBorder="1"/>
    <xf numFmtId="0" fontId="13" fillId="7" borderId="98" xfId="0" applyFont="1" applyFill="1" applyBorder="1" applyAlignment="1">
      <alignment horizontal="center" vertical="center"/>
    </xf>
    <xf numFmtId="0" fontId="13" fillId="7" borderId="98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left" vertical="center" wrapText="1"/>
    </xf>
    <xf numFmtId="0" fontId="13" fillId="2" borderId="1" xfId="0" applyFont="1" applyFill="1" applyBorder="1" applyAlignment="1">
      <alignment horizontal="right" vertical="center" wrapText="1"/>
    </xf>
    <xf numFmtId="0" fontId="13" fillId="2" borderId="1" xfId="0" applyFont="1" applyFill="1" applyBorder="1" applyAlignment="1">
      <alignment horizontal="left" vertical="top" wrapText="1"/>
    </xf>
    <xf numFmtId="0" fontId="13" fillId="3" borderId="1" xfId="0" applyFont="1" applyFill="1" applyBorder="1" applyAlignment="1">
      <alignment horizontal="left" vertical="center" wrapText="1"/>
    </xf>
    <xf numFmtId="0" fontId="13" fillId="3" borderId="1" xfId="0" applyFont="1" applyFill="1" applyBorder="1" applyAlignment="1">
      <alignment horizontal="right" vertical="center" wrapText="1"/>
    </xf>
    <xf numFmtId="165" fontId="13" fillId="3" borderId="1" xfId="0" applyNumberFormat="1" applyFont="1" applyFill="1" applyBorder="1" applyAlignment="1">
      <alignment horizontal="left" vertical="center" wrapText="1"/>
    </xf>
    <xf numFmtId="0" fontId="13" fillId="3" borderId="1" xfId="0" applyFont="1" applyFill="1" applyBorder="1" applyAlignment="1">
      <alignment horizontal="left"/>
    </xf>
    <xf numFmtId="0" fontId="13" fillId="3" borderId="1" xfId="0" applyFont="1" applyFill="1" applyBorder="1" applyAlignment="1">
      <alignment horizontal="right"/>
    </xf>
    <xf numFmtId="0" fontId="13" fillId="7" borderId="27" xfId="0" applyFont="1" applyFill="1" applyBorder="1" applyAlignment="1">
      <alignment horizontal="right" vertical="center" wrapText="1"/>
    </xf>
    <xf numFmtId="0" fontId="13" fillId="7" borderId="1" xfId="0" applyFont="1" applyFill="1" applyBorder="1" applyAlignment="1">
      <alignment horizontal="left" vertical="center" wrapText="1"/>
    </xf>
    <xf numFmtId="0" fontId="13" fillId="7" borderId="5" xfId="0" applyFont="1" applyFill="1" applyBorder="1" applyAlignment="1">
      <alignment horizontal="right" vertical="center" wrapText="1"/>
    </xf>
    <xf numFmtId="0" fontId="13" fillId="7" borderId="3" xfId="0" applyFont="1" applyFill="1" applyBorder="1" applyAlignment="1">
      <alignment horizontal="left" vertical="center"/>
    </xf>
    <xf numFmtId="0" fontId="13" fillId="7" borderId="11" xfId="0" applyFont="1" applyFill="1" applyBorder="1" applyAlignment="1">
      <alignment horizontal="right" vertical="center"/>
    </xf>
    <xf numFmtId="0" fontId="13" fillId="7" borderId="10" xfId="0" applyFont="1" applyFill="1" applyBorder="1" applyAlignment="1">
      <alignment horizontal="left" vertical="center" wrapText="1"/>
    </xf>
    <xf numFmtId="0" fontId="13" fillId="15" borderId="38" xfId="0" applyFont="1" applyFill="1" applyBorder="1" applyAlignment="1">
      <alignment vertical="center"/>
    </xf>
    <xf numFmtId="0" fontId="13" fillId="7" borderId="38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vertical="center" wrapText="1"/>
    </xf>
    <xf numFmtId="0" fontId="13" fillId="3" borderId="2" xfId="0" applyFont="1" applyFill="1" applyBorder="1" applyAlignment="1">
      <alignment horizontal="left" vertical="center" wrapText="1"/>
    </xf>
    <xf numFmtId="0" fontId="13" fillId="3" borderId="2" xfId="0" applyFont="1" applyFill="1" applyBorder="1" applyAlignment="1">
      <alignment horizontal="right" vertical="center" wrapText="1"/>
    </xf>
    <xf numFmtId="0" fontId="13" fillId="5" borderId="3" xfId="0" applyFont="1" applyFill="1" applyBorder="1" applyAlignment="1">
      <alignment vertical="center" wrapText="1"/>
    </xf>
    <xf numFmtId="0" fontId="13" fillId="7" borderId="38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right" vertical="center" wrapText="1"/>
    </xf>
    <xf numFmtId="2" fontId="13" fillId="0" borderId="107" xfId="0" applyNumberFormat="1" applyFont="1" applyBorder="1" applyAlignment="1">
      <alignment vertical="center"/>
    </xf>
    <xf numFmtId="0" fontId="13" fillId="0" borderId="107" xfId="0" applyFont="1" applyBorder="1" applyAlignment="1">
      <alignment vertical="center" wrapText="1"/>
    </xf>
    <xf numFmtId="0" fontId="13" fillId="0" borderId="107" xfId="0" applyFont="1" applyBorder="1" applyAlignment="1">
      <alignment vertical="center"/>
    </xf>
    <xf numFmtId="0" fontId="13" fillId="0" borderId="108" xfId="0" applyFont="1" applyBorder="1" applyAlignment="1">
      <alignment vertical="center" wrapText="1"/>
    </xf>
    <xf numFmtId="0" fontId="13" fillId="3" borderId="3" xfId="0" applyFont="1" applyFill="1" applyBorder="1" applyAlignment="1">
      <alignment horizontal="left" vertical="center" wrapText="1"/>
    </xf>
    <xf numFmtId="0" fontId="13" fillId="3" borderId="3" xfId="0" applyFont="1" applyFill="1" applyBorder="1" applyAlignment="1">
      <alignment horizontal="right" vertical="center" wrapText="1"/>
    </xf>
    <xf numFmtId="0" fontId="13" fillId="5" borderId="10" xfId="0" applyFont="1" applyFill="1" applyBorder="1" applyAlignment="1">
      <alignment vertical="center" wrapText="1"/>
    </xf>
    <xf numFmtId="0" fontId="13" fillId="5" borderId="10" xfId="0" applyFont="1" applyFill="1" applyBorder="1" applyAlignment="1">
      <alignment horizontal="center" wrapText="1"/>
    </xf>
    <xf numFmtId="0" fontId="13" fillId="7" borderId="109" xfId="0" applyFont="1" applyFill="1" applyBorder="1" applyAlignment="1">
      <alignment horizontal="center" vertical="center"/>
    </xf>
    <xf numFmtId="0" fontId="13" fillId="7" borderId="109" xfId="0" applyFont="1" applyFill="1" applyBorder="1" applyAlignment="1">
      <alignment horizontal="center" vertical="center" wrapText="1"/>
    </xf>
    <xf numFmtId="0" fontId="13" fillId="0" borderId="10" xfId="0" applyFont="1" applyBorder="1" applyAlignment="1">
      <alignment vertical="center" wrapText="1"/>
    </xf>
    <xf numFmtId="0" fontId="13" fillId="0" borderId="38" xfId="0" applyFont="1" applyBorder="1" applyAlignment="1">
      <alignment horizontal="right"/>
    </xf>
    <xf numFmtId="0" fontId="13" fillId="2" borderId="10" xfId="0" applyFont="1" applyFill="1" applyBorder="1" applyAlignment="1">
      <alignment horizontal="left" vertical="top" wrapText="1"/>
    </xf>
    <xf numFmtId="0" fontId="13" fillId="2" borderId="10" xfId="0" applyFont="1" applyFill="1" applyBorder="1" applyAlignment="1">
      <alignment horizontal="right" vertical="center" wrapText="1"/>
    </xf>
    <xf numFmtId="0" fontId="13" fillId="0" borderId="110" xfId="0" applyFont="1" applyBorder="1"/>
    <xf numFmtId="0" fontId="13" fillId="0" borderId="110" xfId="0" applyFont="1" applyBorder="1" applyAlignment="1">
      <alignment horizontal="center" vertical="center"/>
    </xf>
    <xf numFmtId="0" fontId="13" fillId="0" borderId="110" xfId="0" applyFont="1" applyBorder="1" applyAlignment="1">
      <alignment horizontal="right" vertical="center"/>
    </xf>
    <xf numFmtId="0" fontId="13" fillId="14" borderId="0" xfId="0" applyFont="1" applyFill="1" applyAlignment="1">
      <alignment horizontal="center" vertical="center" wrapText="1"/>
    </xf>
    <xf numFmtId="0" fontId="13" fillId="14" borderId="2" xfId="0" applyFont="1" applyFill="1" applyBorder="1" applyAlignment="1">
      <alignment horizontal="center" vertical="center" wrapText="1"/>
    </xf>
    <xf numFmtId="0" fontId="13" fillId="14" borderId="2" xfId="0" applyFont="1" applyFill="1" applyBorder="1" applyAlignment="1">
      <alignment horizontal="center" wrapText="1"/>
    </xf>
    <xf numFmtId="0" fontId="13" fillId="14" borderId="2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center" vertical="center" wrapText="1"/>
    </xf>
    <xf numFmtId="0" fontId="13" fillId="14" borderId="7" xfId="0" applyFont="1" applyFill="1" applyBorder="1" applyAlignment="1">
      <alignment horizontal="center" vertical="center" wrapText="1"/>
    </xf>
    <xf numFmtId="2" fontId="13" fillId="0" borderId="39" xfId="0" applyNumberFormat="1" applyFont="1" applyBorder="1" applyAlignment="1">
      <alignment horizontal="center" vertical="center"/>
    </xf>
    <xf numFmtId="2" fontId="13" fillId="0" borderId="4" xfId="0" applyNumberFormat="1" applyFont="1" applyBorder="1" applyAlignment="1">
      <alignment horizontal="center" vertical="center"/>
    </xf>
    <xf numFmtId="2" fontId="13" fillId="0" borderId="38" xfId="0" applyNumberFormat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2" fontId="13" fillId="0" borderId="37" xfId="0" applyNumberFormat="1" applyFont="1" applyBorder="1" applyAlignment="1">
      <alignment horizontal="center" vertical="center"/>
    </xf>
    <xf numFmtId="0" fontId="13" fillId="0" borderId="107" xfId="0" applyFont="1" applyBorder="1" applyAlignment="1">
      <alignment horizontal="center" vertical="center"/>
    </xf>
    <xf numFmtId="2" fontId="13" fillId="0" borderId="37" xfId="0" applyNumberFormat="1" applyFont="1" applyBorder="1" applyAlignment="1">
      <alignment vertical="center"/>
    </xf>
    <xf numFmtId="2" fontId="13" fillId="0" borderId="4" xfId="0" applyNumberFormat="1" applyFont="1" applyBorder="1" applyAlignment="1">
      <alignment vertical="center"/>
    </xf>
    <xf numFmtId="0" fontId="13" fillId="0" borderId="39" xfId="0" applyFont="1" applyBorder="1" applyAlignment="1">
      <alignment vertical="center"/>
    </xf>
    <xf numFmtId="0" fontId="13" fillId="0" borderId="37" xfId="0" applyFont="1" applyBorder="1" applyAlignment="1">
      <alignment horizontal="right" vertical="center"/>
    </xf>
    <xf numFmtId="0" fontId="13" fillId="0" borderId="4" xfId="0" applyFont="1" applyBorder="1" applyAlignment="1">
      <alignment horizontal="right" vertical="center"/>
    </xf>
    <xf numFmtId="0" fontId="13" fillId="0" borderId="38" xfId="0" applyFont="1" applyBorder="1" applyAlignment="1">
      <alignment horizontal="right" vertical="center"/>
    </xf>
    <xf numFmtId="2" fontId="13" fillId="0" borderId="39" xfId="0" applyNumberFormat="1" applyFont="1" applyBorder="1" applyAlignment="1">
      <alignment vertical="center"/>
    </xf>
    <xf numFmtId="0" fontId="13" fillId="7" borderId="38" xfId="0" applyFont="1" applyFill="1" applyBorder="1" applyAlignment="1">
      <alignment horizontal="center" wrapText="1"/>
    </xf>
    <xf numFmtId="0" fontId="13" fillId="7" borderId="38" xfId="0" applyFont="1" applyFill="1" applyBorder="1" applyAlignment="1">
      <alignment horizontal="left" vertical="center" wrapText="1"/>
    </xf>
    <xf numFmtId="0" fontId="13" fillId="7" borderId="111" xfId="0" applyFont="1" applyFill="1" applyBorder="1" applyAlignment="1">
      <alignment horizontal="right" vertical="center" wrapText="1"/>
    </xf>
    <xf numFmtId="1" fontId="13" fillId="0" borderId="38" xfId="0" applyNumberFormat="1" applyFont="1" applyBorder="1"/>
    <xf numFmtId="0" fontId="13" fillId="7" borderId="24" xfId="0" applyFont="1" applyFill="1" applyBorder="1" applyAlignment="1">
      <alignment vertical="center" wrapText="1"/>
    </xf>
    <xf numFmtId="0" fontId="13" fillId="7" borderId="24" xfId="0" applyFont="1" applyFill="1" applyBorder="1" applyAlignment="1">
      <alignment horizontal="center" wrapText="1"/>
    </xf>
    <xf numFmtId="0" fontId="13" fillId="7" borderId="24" xfId="0" applyFont="1" applyFill="1" applyBorder="1" applyAlignment="1">
      <alignment horizontal="left" vertical="center" wrapText="1"/>
    </xf>
    <xf numFmtId="0" fontId="13" fillId="7" borderId="23" xfId="0" applyFont="1" applyFill="1" applyBorder="1" applyAlignment="1">
      <alignment horizontal="right" vertical="center" wrapText="1"/>
    </xf>
    <xf numFmtId="0" fontId="13" fillId="0" borderId="24" xfId="0" applyFont="1" applyBorder="1"/>
    <xf numFmtId="1" fontId="13" fillId="0" borderId="24" xfId="0" applyNumberFormat="1" applyFont="1" applyBorder="1"/>
    <xf numFmtId="0" fontId="13" fillId="0" borderId="24" xfId="0" applyFont="1" applyBorder="1" applyAlignment="1">
      <alignment vertical="center"/>
    </xf>
    <xf numFmtId="2" fontId="13" fillId="0" borderId="24" xfId="0" applyNumberFormat="1" applyFont="1" applyBorder="1" applyAlignment="1">
      <alignment vertical="center"/>
    </xf>
    <xf numFmtId="0" fontId="13" fillId="0" borderId="24" xfId="0" applyFont="1" applyBorder="1" applyAlignment="1">
      <alignment horizontal="center" vertical="center" wrapText="1"/>
    </xf>
    <xf numFmtId="0" fontId="13" fillId="0" borderId="112" xfId="0" applyFont="1" applyBorder="1"/>
    <xf numFmtId="0" fontId="13" fillId="7" borderId="2" xfId="0" applyFont="1" applyFill="1" applyBorder="1" applyAlignment="1">
      <alignment horizontal="left" vertical="center" wrapText="1"/>
    </xf>
    <xf numFmtId="0" fontId="13" fillId="7" borderId="94" xfId="0" applyFont="1" applyFill="1" applyBorder="1" applyAlignment="1">
      <alignment horizontal="right" vertical="center" wrapText="1"/>
    </xf>
    <xf numFmtId="0" fontId="13" fillId="0" borderId="96" xfId="0" applyFont="1" applyBorder="1"/>
    <xf numFmtId="0" fontId="0" fillId="0" borderId="14" xfId="0" applyBorder="1"/>
    <xf numFmtId="0" fontId="0" fillId="0" borderId="24" xfId="0" applyBorder="1"/>
    <xf numFmtId="0" fontId="2" fillId="0" borderId="26" xfId="0" applyFont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2" fillId="0" borderId="31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17" xfId="0" applyFont="1" applyBorder="1" applyAlignment="1">
      <alignment vertical="center" wrapText="1"/>
    </xf>
    <xf numFmtId="0" fontId="2" fillId="0" borderId="28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04" xfId="0" applyFont="1" applyBorder="1" applyAlignment="1">
      <alignment vertical="center"/>
    </xf>
    <xf numFmtId="0" fontId="2" fillId="0" borderId="29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8" xfId="0" applyFont="1" applyBorder="1" applyAlignment="1">
      <alignment vertical="center" wrapText="1"/>
    </xf>
    <xf numFmtId="0" fontId="2" fillId="0" borderId="10" xfId="0" applyFont="1" applyBorder="1" applyAlignment="1">
      <alignment vertical="center"/>
    </xf>
    <xf numFmtId="0" fontId="2" fillId="0" borderId="10" xfId="0" applyFont="1" applyBorder="1" applyAlignment="1">
      <alignment vertical="center" wrapText="1"/>
    </xf>
    <xf numFmtId="0" fontId="2" fillId="0" borderId="21" xfId="0" applyFont="1" applyBorder="1" applyAlignment="1">
      <alignment vertical="center"/>
    </xf>
    <xf numFmtId="0" fontId="2" fillId="0" borderId="22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17" borderId="27" xfId="0" applyFont="1" applyFill="1" applyBorder="1" applyAlignment="1">
      <alignment vertical="center" wrapText="1"/>
    </xf>
    <xf numFmtId="0" fontId="2" fillId="17" borderId="10" xfId="0" applyFont="1" applyFill="1" applyBorder="1" applyAlignment="1">
      <alignment vertical="center" wrapText="1"/>
    </xf>
    <xf numFmtId="0" fontId="2" fillId="0" borderId="32" xfId="0" applyFont="1" applyBorder="1" applyAlignment="1">
      <alignment vertical="center"/>
    </xf>
    <xf numFmtId="0" fontId="2" fillId="0" borderId="31" xfId="0" applyFont="1" applyBorder="1" applyAlignment="1">
      <alignment vertical="center" wrapText="1"/>
    </xf>
    <xf numFmtId="0" fontId="2" fillId="17" borderId="17" xfId="0" applyFont="1" applyFill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2" fillId="0" borderId="20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0" fillId="0" borderId="16" xfId="0" applyBorder="1" applyAlignment="1">
      <alignment vertical="center"/>
    </xf>
    <xf numFmtId="0" fontId="13" fillId="6" borderId="1" xfId="0" applyFont="1" applyFill="1" applyBorder="1" applyAlignment="1">
      <alignment horizontal="center" vertical="center" wrapText="1"/>
    </xf>
    <xf numFmtId="0" fontId="13" fillId="6" borderId="9" xfId="0" applyFont="1" applyFill="1" applyBorder="1" applyAlignment="1">
      <alignment horizontal="center" vertical="center" wrapText="1"/>
    </xf>
    <xf numFmtId="0" fontId="13" fillId="6" borderId="9" xfId="0" applyFont="1" applyFill="1" applyBorder="1" applyAlignment="1">
      <alignment horizontal="left" vertical="center" wrapText="1"/>
    </xf>
    <xf numFmtId="0" fontId="13" fillId="6" borderId="99" xfId="0" applyFont="1" applyFill="1" applyBorder="1" applyAlignment="1">
      <alignment horizontal="center" vertical="center" wrapText="1"/>
    </xf>
    <xf numFmtId="0" fontId="13" fillId="6" borderId="2" xfId="0" applyFont="1" applyFill="1" applyBorder="1" applyAlignment="1">
      <alignment horizontal="center" vertical="center" wrapText="1"/>
    </xf>
    <xf numFmtId="0" fontId="29" fillId="6" borderId="1" xfId="0" applyFont="1" applyFill="1" applyBorder="1" applyAlignment="1">
      <alignment horizontal="center" vertical="center" wrapText="1"/>
    </xf>
    <xf numFmtId="2" fontId="13" fillId="0" borderId="39" xfId="0" applyNumberFormat="1" applyFont="1" applyBorder="1" applyAlignment="1">
      <alignment horizontal="center" vertical="center"/>
    </xf>
    <xf numFmtId="2" fontId="13" fillId="0" borderId="4" xfId="0" applyNumberFormat="1" applyFont="1" applyBorder="1" applyAlignment="1">
      <alignment horizontal="center" vertical="center"/>
    </xf>
    <xf numFmtId="2" fontId="13" fillId="0" borderId="38" xfId="0" applyNumberFormat="1" applyFont="1" applyBorder="1" applyAlignment="1">
      <alignment horizontal="center" vertical="center"/>
    </xf>
    <xf numFmtId="0" fontId="13" fillId="0" borderId="39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38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30" fillId="19" borderId="104" xfId="0" applyFont="1" applyFill="1" applyBorder="1" applyAlignment="1">
      <alignment horizontal="center" vertical="center"/>
    </xf>
    <xf numFmtId="0" fontId="30" fillId="19" borderId="94" xfId="0" applyFont="1" applyFill="1" applyBorder="1" applyAlignment="1">
      <alignment horizontal="center" vertical="center"/>
    </xf>
    <xf numFmtId="0" fontId="30" fillId="19" borderId="6" xfId="0" applyFont="1" applyFill="1" applyBorder="1" applyAlignment="1">
      <alignment horizontal="center" vertical="center"/>
    </xf>
    <xf numFmtId="0" fontId="30" fillId="19" borderId="1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37" xfId="0" applyFont="1" applyBorder="1" applyAlignment="1">
      <alignment horizontal="center" vertical="center"/>
    </xf>
    <xf numFmtId="0" fontId="26" fillId="0" borderId="39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38" xfId="0" applyFont="1" applyBorder="1" applyAlignment="1">
      <alignment horizontal="center" vertical="center"/>
    </xf>
    <xf numFmtId="0" fontId="31" fillId="20" borderId="104" xfId="0" applyFont="1" applyFill="1" applyBorder="1" applyAlignment="1">
      <alignment horizontal="center" vertical="center"/>
    </xf>
    <xf numFmtId="0" fontId="31" fillId="20" borderId="94" xfId="0" applyFont="1" applyFill="1" applyBorder="1" applyAlignment="1">
      <alignment horizontal="center" vertical="center"/>
    </xf>
    <xf numFmtId="0" fontId="31" fillId="20" borderId="7" xfId="0" applyFont="1" applyFill="1" applyBorder="1" applyAlignment="1">
      <alignment horizontal="center" vertical="center"/>
    </xf>
    <xf numFmtId="0" fontId="31" fillId="20" borderId="50" xfId="0" applyFont="1" applyFill="1" applyBorder="1" applyAlignment="1">
      <alignment horizontal="center" vertical="center"/>
    </xf>
    <xf numFmtId="0" fontId="31" fillId="20" borderId="6" xfId="0" applyFont="1" applyFill="1" applyBorder="1" applyAlignment="1">
      <alignment horizontal="center" vertical="center"/>
    </xf>
    <xf numFmtId="0" fontId="31" fillId="20" borderId="11" xfId="0" applyFont="1" applyFill="1" applyBorder="1" applyAlignment="1">
      <alignment horizontal="center" vertical="center"/>
    </xf>
    <xf numFmtId="0" fontId="13" fillId="7" borderId="2" xfId="0" applyFont="1" applyFill="1" applyBorder="1" applyAlignment="1">
      <alignment horizontal="center" vertical="center" wrapText="1"/>
    </xf>
    <xf numFmtId="0" fontId="13" fillId="7" borderId="3" xfId="0" applyFont="1" applyFill="1" applyBorder="1" applyAlignment="1">
      <alignment horizontal="center" vertical="center" wrapText="1"/>
    </xf>
    <xf numFmtId="0" fontId="25" fillId="7" borderId="101" xfId="0" applyFont="1" applyFill="1" applyBorder="1" applyAlignment="1">
      <alignment horizontal="center" vertical="center" textRotation="90" wrapText="1"/>
    </xf>
    <xf numFmtId="0" fontId="25" fillId="7" borderId="50" xfId="0" applyFont="1" applyFill="1" applyBorder="1" applyAlignment="1">
      <alignment horizontal="center" vertical="center" textRotation="90" wrapText="1"/>
    </xf>
    <xf numFmtId="0" fontId="25" fillId="7" borderId="100" xfId="0" applyFont="1" applyFill="1" applyBorder="1" applyAlignment="1">
      <alignment horizontal="center" vertical="center" textRotation="90" wrapText="1"/>
    </xf>
    <xf numFmtId="0" fontId="13" fillId="15" borderId="39" xfId="0" applyFont="1" applyFill="1" applyBorder="1" applyAlignment="1">
      <alignment horizontal="center" vertical="center"/>
    </xf>
    <xf numFmtId="0" fontId="13" fillId="15" borderId="4" xfId="0" applyFont="1" applyFill="1" applyBorder="1" applyAlignment="1">
      <alignment horizontal="center" vertical="center"/>
    </xf>
    <xf numFmtId="0" fontId="13" fillId="15" borderId="38" xfId="0" applyFont="1" applyFill="1" applyBorder="1" applyAlignment="1">
      <alignment horizontal="center" vertical="center"/>
    </xf>
    <xf numFmtId="0" fontId="25" fillId="7" borderId="49" xfId="0" applyFont="1" applyFill="1" applyBorder="1" applyAlignment="1">
      <alignment horizontal="center" vertical="center" textRotation="90" wrapText="1"/>
    </xf>
    <xf numFmtId="0" fontId="13" fillId="7" borderId="4" xfId="0" applyFont="1" applyFill="1" applyBorder="1" applyAlignment="1">
      <alignment horizontal="center" vertical="center" wrapText="1"/>
    </xf>
    <xf numFmtId="164" fontId="13" fillId="0" borderId="39" xfId="0" applyNumberFormat="1" applyFont="1" applyBorder="1" applyAlignment="1">
      <alignment horizontal="center" vertical="center" wrapText="1"/>
    </xf>
    <xf numFmtId="164" fontId="13" fillId="0" borderId="4" xfId="0" applyNumberFormat="1" applyFont="1" applyBorder="1" applyAlignment="1">
      <alignment horizontal="center" vertical="center" wrapText="1"/>
    </xf>
    <xf numFmtId="164" fontId="13" fillId="0" borderId="38" xfId="0" applyNumberFormat="1" applyFont="1" applyBorder="1" applyAlignment="1">
      <alignment horizontal="center" vertical="center" wrapText="1"/>
    </xf>
    <xf numFmtId="2" fontId="13" fillId="0" borderId="37" xfId="0" applyNumberFormat="1" applyFont="1" applyBorder="1" applyAlignment="1">
      <alignment horizontal="center" vertical="center"/>
    </xf>
    <xf numFmtId="0" fontId="25" fillId="3" borderId="39" xfId="0" applyFont="1" applyFill="1" applyBorder="1" applyAlignment="1">
      <alignment horizontal="center" vertical="center" textRotation="90"/>
    </xf>
    <xf numFmtId="0" fontId="25" fillId="3" borderId="4" xfId="0" applyFont="1" applyFill="1" applyBorder="1" applyAlignment="1">
      <alignment horizontal="center" vertical="center" textRotation="90"/>
    </xf>
    <xf numFmtId="0" fontId="25" fillId="3" borderId="38" xfId="0" applyFont="1" applyFill="1" applyBorder="1" applyAlignment="1">
      <alignment horizontal="center" vertical="center" textRotation="90"/>
    </xf>
    <xf numFmtId="0" fontId="26" fillId="15" borderId="39" xfId="0" applyFont="1" applyFill="1" applyBorder="1" applyAlignment="1">
      <alignment horizontal="center" vertical="center"/>
    </xf>
    <xf numFmtId="0" fontId="26" fillId="15" borderId="4" xfId="0" applyFont="1" applyFill="1" applyBorder="1" applyAlignment="1">
      <alignment horizontal="center" vertical="center"/>
    </xf>
    <xf numFmtId="0" fontId="26" fillId="15" borderId="38" xfId="0" applyFont="1" applyFill="1" applyBorder="1" applyAlignment="1">
      <alignment horizontal="center" vertical="center"/>
    </xf>
    <xf numFmtId="0" fontId="25" fillId="5" borderId="39" xfId="0" applyFont="1" applyFill="1" applyBorder="1" applyAlignment="1">
      <alignment horizontal="center" vertical="center" textRotation="90" wrapText="1"/>
    </xf>
    <xf numFmtId="0" fontId="25" fillId="5" borderId="4" xfId="0" applyFont="1" applyFill="1" applyBorder="1" applyAlignment="1">
      <alignment horizontal="center" vertical="center" textRotation="90" wrapText="1"/>
    </xf>
    <xf numFmtId="0" fontId="25" fillId="5" borderId="38" xfId="0" applyFont="1" applyFill="1" applyBorder="1" applyAlignment="1">
      <alignment horizontal="center" vertical="center" textRotation="90" wrapText="1"/>
    </xf>
    <xf numFmtId="0" fontId="13" fillId="7" borderId="17" xfId="0" applyFont="1" applyFill="1" applyBorder="1" applyAlignment="1">
      <alignment horizontal="center" vertical="center" wrapText="1"/>
    </xf>
    <xf numFmtId="0" fontId="13" fillId="7" borderId="10" xfId="0" applyFont="1" applyFill="1" applyBorder="1" applyAlignment="1">
      <alignment horizontal="center" vertical="center" wrapText="1"/>
    </xf>
    <xf numFmtId="0" fontId="25" fillId="2" borderId="37" xfId="0" applyFont="1" applyFill="1" applyBorder="1" applyAlignment="1">
      <alignment horizontal="center" vertical="center" textRotation="90"/>
    </xf>
    <xf numFmtId="0" fontId="25" fillId="2" borderId="4" xfId="0" applyFont="1" applyFill="1" applyBorder="1" applyAlignment="1">
      <alignment horizontal="center" vertical="center" textRotation="90"/>
    </xf>
    <xf numFmtId="0" fontId="25" fillId="2" borderId="38" xfId="0" applyFont="1" applyFill="1" applyBorder="1" applyAlignment="1">
      <alignment horizontal="center" vertical="center" textRotation="90"/>
    </xf>
    <xf numFmtId="0" fontId="13" fillId="15" borderId="37" xfId="0" applyFont="1" applyFill="1" applyBorder="1" applyAlignment="1">
      <alignment horizontal="center" vertical="center"/>
    </xf>
    <xf numFmtId="0" fontId="13" fillId="14" borderId="45" xfId="0" applyFont="1" applyFill="1" applyBorder="1" applyAlignment="1">
      <alignment horizontal="left" vertical="center" wrapText="1"/>
    </xf>
    <xf numFmtId="0" fontId="13" fillId="14" borderId="46" xfId="0" applyFont="1" applyFill="1" applyBorder="1" applyAlignment="1">
      <alignment horizontal="left" vertical="center" wrapText="1"/>
    </xf>
    <xf numFmtId="0" fontId="13" fillId="14" borderId="104" xfId="0" applyFont="1" applyFill="1" applyBorder="1" applyAlignment="1">
      <alignment horizontal="left" vertical="center" wrapText="1"/>
    </xf>
    <xf numFmtId="0" fontId="13" fillId="14" borderId="94" xfId="0" applyFont="1" applyFill="1" applyBorder="1" applyAlignment="1">
      <alignment horizontal="left" vertical="center" wrapText="1"/>
    </xf>
    <xf numFmtId="0" fontId="13" fillId="14" borderId="7" xfId="0" applyFont="1" applyFill="1" applyBorder="1" applyAlignment="1">
      <alignment horizontal="center" vertical="center" wrapText="1"/>
    </xf>
    <xf numFmtId="0" fontId="13" fillId="14" borderId="50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4" xfId="0" applyFont="1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13" fillId="14" borderId="54" xfId="0" applyFont="1" applyFill="1" applyBorder="1" applyAlignment="1">
      <alignment horizontal="center" vertical="center" wrapText="1"/>
    </xf>
    <xf numFmtId="0" fontId="13" fillId="14" borderId="55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2" fillId="12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5" borderId="1" xfId="0" applyFont="1" applyFill="1" applyBorder="1" applyAlignment="1">
      <alignment horizontal="center" vertical="center"/>
    </xf>
    <xf numFmtId="9" fontId="2" fillId="15" borderId="1" xfId="3" applyFont="1" applyFill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2" xfId="0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3" fillId="0" borderId="13" xfId="0" applyFont="1" applyBorder="1" applyAlignment="1">
      <alignment vertical="center"/>
    </xf>
    <xf numFmtId="0" fontId="23" fillId="0" borderId="15" xfId="0" applyFont="1" applyBorder="1" applyAlignment="1">
      <alignment vertical="center"/>
    </xf>
    <xf numFmtId="0" fontId="23" fillId="0" borderId="13" xfId="0" applyFont="1" applyBorder="1" applyAlignment="1">
      <alignment vertical="center" wrapText="1"/>
    </xf>
    <xf numFmtId="0" fontId="23" fillId="0" borderId="15" xfId="0" applyFont="1" applyBorder="1" applyAlignment="1">
      <alignment vertical="center" wrapText="1"/>
    </xf>
    <xf numFmtId="0" fontId="16" fillId="0" borderId="56" xfId="0" applyFont="1" applyBorder="1" applyAlignment="1">
      <alignment vertical="center" wrapText="1"/>
    </xf>
    <xf numFmtId="0" fontId="16" fillId="0" borderId="0" xfId="0" applyFont="1" applyAlignment="1">
      <alignment vertical="center" wrapText="1"/>
    </xf>
    <xf numFmtId="0" fontId="23" fillId="0" borderId="92" xfId="0" applyFont="1" applyBorder="1" applyAlignment="1">
      <alignment vertical="center"/>
    </xf>
    <xf numFmtId="0" fontId="23" fillId="0" borderId="72" xfId="0" applyFont="1" applyBorder="1" applyAlignment="1">
      <alignment vertical="center"/>
    </xf>
    <xf numFmtId="0" fontId="23" fillId="0" borderId="92" xfId="0" applyFont="1" applyBorder="1" applyAlignment="1">
      <alignment vertical="center" wrapText="1"/>
    </xf>
    <xf numFmtId="0" fontId="23" fillId="0" borderId="72" xfId="0" applyFont="1" applyBorder="1" applyAlignment="1">
      <alignment vertical="center" wrapText="1"/>
    </xf>
    <xf numFmtId="0" fontId="21" fillId="17" borderId="88" xfId="0" applyFont="1" applyFill="1" applyBorder="1" applyAlignment="1">
      <alignment horizontal="center" vertical="center" wrapText="1"/>
    </xf>
    <xf numFmtId="0" fontId="21" fillId="17" borderId="89" xfId="0" applyFont="1" applyFill="1" applyBorder="1" applyAlignment="1">
      <alignment horizontal="center" vertical="center" wrapText="1"/>
    </xf>
    <xf numFmtId="0" fontId="21" fillId="17" borderId="90" xfId="0" applyFont="1" applyFill="1" applyBorder="1" applyAlignment="1">
      <alignment horizontal="center" vertical="center"/>
    </xf>
    <xf numFmtId="0" fontId="21" fillId="17" borderId="91" xfId="0" applyFont="1" applyFill="1" applyBorder="1" applyAlignment="1">
      <alignment horizontal="center" vertical="center"/>
    </xf>
    <xf numFmtId="0" fontId="20" fillId="17" borderId="87" xfId="0" applyFont="1" applyFill="1" applyBorder="1" applyAlignment="1">
      <alignment horizontal="center" vertical="center"/>
    </xf>
    <xf numFmtId="0" fontId="20" fillId="17" borderId="74" xfId="0" applyFont="1" applyFill="1" applyBorder="1" applyAlignment="1">
      <alignment horizontal="center" vertical="center"/>
    </xf>
    <xf numFmtId="0" fontId="21" fillId="16" borderId="87" xfId="0" applyFont="1" applyFill="1" applyBorder="1" applyAlignment="1">
      <alignment horizontal="center" vertical="center"/>
    </xf>
    <xf numFmtId="0" fontId="21" fillId="16" borderId="74" xfId="0" applyFont="1" applyFill="1" applyBorder="1" applyAlignment="1">
      <alignment horizontal="center" vertical="center"/>
    </xf>
    <xf numFmtId="0" fontId="15" fillId="0" borderId="60" xfId="0" applyFont="1" applyBorder="1" applyAlignment="1">
      <alignment vertical="center" wrapText="1"/>
    </xf>
    <xf numFmtId="0" fontId="15" fillId="0" borderId="0" xfId="0" applyFont="1" applyAlignment="1">
      <alignment vertical="center" wrapText="1"/>
    </xf>
    <xf numFmtId="0" fontId="15" fillId="0" borderId="61" xfId="0" applyFont="1" applyBorder="1" applyAlignment="1">
      <alignment vertical="center" wrapText="1"/>
    </xf>
    <xf numFmtId="0" fontId="19" fillId="0" borderId="78" xfId="0" applyFont="1" applyBorder="1" applyAlignment="1">
      <alignment horizontal="justify" vertical="center"/>
    </xf>
    <xf numFmtId="0" fontId="19" fillId="0" borderId="82" xfId="0" applyFont="1" applyBorder="1" applyAlignment="1">
      <alignment horizontal="justify" vertical="center"/>
    </xf>
    <xf numFmtId="0" fontId="19" fillId="0" borderId="78" xfId="0" applyFont="1" applyBorder="1" applyAlignment="1">
      <alignment vertical="center"/>
    </xf>
    <xf numFmtId="0" fontId="19" fillId="0" borderId="79" xfId="0" applyFont="1" applyBorder="1" applyAlignment="1">
      <alignment vertical="center"/>
    </xf>
    <xf numFmtId="0" fontId="19" fillId="0" borderId="87" xfId="0" applyFont="1" applyBorder="1" applyAlignment="1">
      <alignment vertical="center"/>
    </xf>
    <xf numFmtId="0" fontId="19" fillId="0" borderId="74" xfId="0" applyFont="1" applyBorder="1" applyAlignment="1">
      <alignment vertical="center"/>
    </xf>
    <xf numFmtId="0" fontId="19" fillId="17" borderId="88" xfId="0" applyFont="1" applyFill="1" applyBorder="1" applyAlignment="1">
      <alignment vertical="center"/>
    </xf>
    <xf numFmtId="0" fontId="19" fillId="17" borderId="89" xfId="0" applyFont="1" applyFill="1" applyBorder="1" applyAlignment="1">
      <alignment vertical="center"/>
    </xf>
    <xf numFmtId="0" fontId="19" fillId="0" borderId="83" xfId="0" applyFont="1" applyBorder="1" applyAlignment="1">
      <alignment horizontal="justify" vertical="center"/>
    </xf>
    <xf numFmtId="0" fontId="19" fillId="0" borderId="84" xfId="0" applyFont="1" applyBorder="1" applyAlignment="1">
      <alignment horizontal="justify" vertical="center"/>
    </xf>
    <xf numFmtId="0" fontId="19" fillId="0" borderId="85" xfId="0" applyFont="1" applyBorder="1" applyAlignment="1">
      <alignment horizontal="justify" vertical="center"/>
    </xf>
    <xf numFmtId="0" fontId="19" fillId="0" borderId="67" xfId="0" applyFont="1" applyBorder="1" applyAlignment="1">
      <alignment horizontal="justify" vertical="center"/>
    </xf>
    <xf numFmtId="0" fontId="19" fillId="17" borderId="83" xfId="0" applyFont="1" applyFill="1" applyBorder="1" applyAlignment="1">
      <alignment vertical="center"/>
    </xf>
    <xf numFmtId="0" fontId="19" fillId="17" borderId="86" xfId="0" applyFont="1" applyFill="1" applyBorder="1" applyAlignment="1">
      <alignment vertical="center"/>
    </xf>
    <xf numFmtId="0" fontId="19" fillId="17" borderId="85" xfId="0" applyFont="1" applyFill="1" applyBorder="1" applyAlignment="1">
      <alignment vertical="center"/>
    </xf>
    <xf numFmtId="0" fontId="19" fillId="17" borderId="70" xfId="0" applyFont="1" applyFill="1" applyBorder="1" applyAlignment="1">
      <alignment vertical="center"/>
    </xf>
    <xf numFmtId="0" fontId="21" fillId="17" borderId="87" xfId="0" applyFont="1" applyFill="1" applyBorder="1" applyAlignment="1">
      <alignment horizontal="center" vertical="center"/>
    </xf>
    <xf numFmtId="0" fontId="21" fillId="17" borderId="74" xfId="0" applyFont="1" applyFill="1" applyBorder="1" applyAlignment="1">
      <alignment horizontal="center" vertical="center"/>
    </xf>
    <xf numFmtId="0" fontId="21" fillId="0" borderId="87" xfId="0" applyFont="1" applyBorder="1" applyAlignment="1">
      <alignment horizontal="center" vertical="center" wrapText="1"/>
    </xf>
    <xf numFmtId="0" fontId="21" fillId="0" borderId="74" xfId="0" applyFont="1" applyBorder="1" applyAlignment="1">
      <alignment horizontal="center" vertical="center" wrapText="1"/>
    </xf>
    <xf numFmtId="0" fontId="21" fillId="17" borderId="88" xfId="0" applyFont="1" applyFill="1" applyBorder="1" applyAlignment="1">
      <alignment horizontal="center" vertical="center"/>
    </xf>
    <xf numFmtId="0" fontId="21" fillId="17" borderId="89" xfId="0" applyFont="1" applyFill="1" applyBorder="1" applyAlignment="1">
      <alignment horizontal="center" vertical="center"/>
    </xf>
    <xf numFmtId="0" fontId="21" fillId="17" borderId="90" xfId="0" applyFont="1" applyFill="1" applyBorder="1" applyAlignment="1">
      <alignment horizontal="center" vertical="center" wrapText="1"/>
    </xf>
    <xf numFmtId="0" fontId="21" fillId="17" borderId="91" xfId="0" applyFont="1" applyFill="1" applyBorder="1" applyAlignment="1">
      <alignment horizontal="center" vertical="center" wrapText="1"/>
    </xf>
    <xf numFmtId="0" fontId="20" fillId="0" borderId="87" xfId="0" applyFont="1" applyBorder="1" applyAlignment="1">
      <alignment horizontal="center" vertical="center"/>
    </xf>
    <xf numFmtId="0" fontId="20" fillId="0" borderId="74" xfId="0" applyFont="1" applyBorder="1" applyAlignment="1">
      <alignment horizontal="center" vertical="center"/>
    </xf>
    <xf numFmtId="0" fontId="17" fillId="0" borderId="60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7" fillId="0" borderId="61" xfId="0" applyFont="1" applyBorder="1" applyAlignment="1">
      <alignment horizontal="center" vertical="center" wrapText="1"/>
    </xf>
    <xf numFmtId="0" fontId="19" fillId="0" borderId="80" xfId="0" applyFont="1" applyBorder="1" applyAlignment="1">
      <alignment horizontal="justify" vertical="center"/>
    </xf>
    <xf numFmtId="0" fontId="19" fillId="0" borderId="81" xfId="0" applyFont="1" applyBorder="1" applyAlignment="1">
      <alignment horizontal="justify" vertical="center"/>
    </xf>
    <xf numFmtId="0" fontId="19" fillId="0" borderId="80" xfId="0" applyFont="1" applyBorder="1" applyAlignment="1">
      <alignment vertical="center"/>
    </xf>
    <xf numFmtId="0" fontId="19" fillId="0" borderId="15" xfId="0" applyFont="1" applyBorder="1" applyAlignment="1">
      <alignment vertical="center"/>
    </xf>
    <xf numFmtId="0" fontId="21" fillId="16" borderId="90" xfId="0" applyFont="1" applyFill="1" applyBorder="1" applyAlignment="1">
      <alignment horizontal="center" vertical="center"/>
    </xf>
    <xf numFmtId="0" fontId="21" fillId="16" borderId="91" xfId="0" applyFont="1" applyFill="1" applyBorder="1" applyAlignment="1">
      <alignment horizontal="center" vertical="center"/>
    </xf>
    <xf numFmtId="0" fontId="15" fillId="0" borderId="57" xfId="0" applyFont="1" applyBorder="1" applyAlignment="1">
      <alignment vertical="center" wrapText="1"/>
    </xf>
    <xf numFmtId="0" fontId="15" fillId="0" borderId="58" xfId="0" applyFont="1" applyBorder="1" applyAlignment="1">
      <alignment vertical="center" wrapText="1"/>
    </xf>
    <xf numFmtId="0" fontId="15" fillId="0" borderId="59" xfId="0" applyFont="1" applyBorder="1" applyAlignment="1">
      <alignment vertical="center" wrapText="1"/>
    </xf>
    <xf numFmtId="0" fontId="19" fillId="0" borderId="76" xfId="0" applyFont="1" applyBorder="1" applyAlignment="1">
      <alignment horizontal="justify" vertical="center"/>
    </xf>
    <xf numFmtId="0" fontId="19" fillId="0" borderId="77" xfId="0" applyFont="1" applyBorder="1" applyAlignment="1">
      <alignment horizontal="justify" vertical="center"/>
    </xf>
    <xf numFmtId="0" fontId="19" fillId="0" borderId="76" xfId="0" applyFont="1" applyBorder="1" applyAlignment="1">
      <alignment vertical="center"/>
    </xf>
    <xf numFmtId="0" fontId="19" fillId="0" borderId="72" xfId="0" applyFont="1" applyBorder="1" applyAlignment="1">
      <alignment vertical="center"/>
    </xf>
    <xf numFmtId="0" fontId="17" fillId="0" borderId="57" xfId="0" applyFont="1" applyBorder="1" applyAlignment="1">
      <alignment horizontal="center" vertical="center" wrapText="1"/>
    </xf>
    <xf numFmtId="0" fontId="17" fillId="0" borderId="58" xfId="0" applyFont="1" applyBorder="1" applyAlignment="1">
      <alignment horizontal="center" vertical="center" wrapText="1"/>
    </xf>
    <xf numFmtId="0" fontId="17" fillId="0" borderId="59" xfId="0" applyFont="1" applyBorder="1" applyAlignment="1">
      <alignment horizontal="center" vertical="center" wrapText="1"/>
    </xf>
    <xf numFmtId="0" fontId="17" fillId="0" borderId="62" xfId="0" applyFont="1" applyBorder="1" applyAlignment="1">
      <alignment horizontal="center" vertical="center" wrapText="1"/>
    </xf>
    <xf numFmtId="0" fontId="17" fillId="0" borderId="63" xfId="0" applyFont="1" applyBorder="1" applyAlignment="1">
      <alignment horizontal="center" vertical="center" wrapText="1"/>
    </xf>
    <xf numFmtId="0" fontId="17" fillId="0" borderId="64" xfId="0" applyFont="1" applyBorder="1" applyAlignment="1">
      <alignment horizontal="center" vertical="center" wrapText="1"/>
    </xf>
    <xf numFmtId="0" fontId="17" fillId="0" borderId="57" xfId="0" applyFont="1" applyBorder="1" applyAlignment="1">
      <alignment horizontal="center" vertical="center"/>
    </xf>
    <xf numFmtId="0" fontId="17" fillId="0" borderId="58" xfId="0" applyFont="1" applyBorder="1" applyAlignment="1">
      <alignment horizontal="center" vertical="center"/>
    </xf>
    <xf numFmtId="0" fontId="17" fillId="0" borderId="59" xfId="0" applyFont="1" applyBorder="1" applyAlignment="1">
      <alignment horizontal="center" vertical="center"/>
    </xf>
    <xf numFmtId="0" fontId="17" fillId="0" borderId="60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61" xfId="0" applyFont="1" applyBorder="1" applyAlignment="1">
      <alignment horizontal="center" vertical="center"/>
    </xf>
    <xf numFmtId="0" fontId="17" fillId="0" borderId="62" xfId="0" applyFont="1" applyBorder="1" applyAlignment="1">
      <alignment horizontal="center" vertical="center"/>
    </xf>
    <xf numFmtId="0" fontId="17" fillId="0" borderId="63" xfId="0" applyFont="1" applyBorder="1" applyAlignment="1">
      <alignment horizontal="center" vertical="center"/>
    </xf>
    <xf numFmtId="0" fontId="17" fillId="0" borderId="64" xfId="0" applyFont="1" applyBorder="1" applyAlignment="1">
      <alignment horizontal="center" vertical="center"/>
    </xf>
    <xf numFmtId="0" fontId="17" fillId="0" borderId="75" xfId="0" applyFont="1" applyBorder="1" applyAlignment="1">
      <alignment horizontal="center" vertical="center" wrapText="1"/>
    </xf>
    <xf numFmtId="0" fontId="17" fillId="0" borderId="66" xfId="0" applyFont="1" applyBorder="1" applyAlignment="1">
      <alignment horizontal="center" vertical="center" wrapText="1"/>
    </xf>
    <xf numFmtId="0" fontId="17" fillId="0" borderId="65" xfId="0" applyFont="1" applyBorder="1" applyAlignment="1">
      <alignment horizontal="center" vertical="center" wrapText="1"/>
    </xf>
    <xf numFmtId="0" fontId="17" fillId="0" borderId="76" xfId="0" applyFont="1" applyBorder="1" applyAlignment="1">
      <alignment horizontal="center" vertical="center" wrapText="1"/>
    </xf>
    <xf numFmtId="0" fontId="17" fillId="0" borderId="73" xfId="0" applyFont="1" applyBorder="1" applyAlignment="1">
      <alignment horizontal="center" vertical="center" wrapText="1"/>
    </xf>
    <xf numFmtId="0" fontId="17" fillId="0" borderId="77" xfId="0" applyFont="1" applyBorder="1" applyAlignment="1">
      <alignment horizontal="center" vertical="center" wrapText="1"/>
    </xf>
    <xf numFmtId="0" fontId="18" fillId="0" borderId="78" xfId="0" applyFont="1" applyBorder="1" applyAlignment="1">
      <alignment vertical="center" textRotation="90"/>
    </xf>
    <xf numFmtId="0" fontId="18" fillId="0" borderId="79" xfId="0" applyFont="1" applyBorder="1" applyAlignment="1">
      <alignment vertical="center" textRotation="90"/>
    </xf>
    <xf numFmtId="0" fontId="20" fillId="4" borderId="76" xfId="0" applyFont="1" applyFill="1" applyBorder="1" applyAlignment="1">
      <alignment horizontal="center" vertical="center"/>
    </xf>
    <xf numFmtId="0" fontId="20" fillId="4" borderId="72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1" fillId="13" borderId="8" xfId="0" applyFont="1" applyFill="1" applyBorder="1" applyAlignment="1">
      <alignment horizontal="center" vertical="center"/>
    </xf>
    <xf numFmtId="0" fontId="1" fillId="13" borderId="41" xfId="0" applyFont="1" applyFill="1" applyBorder="1" applyAlignment="1">
      <alignment horizontal="center" vertical="center"/>
    </xf>
    <xf numFmtId="0" fontId="1" fillId="13" borderId="5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/>
    </xf>
    <xf numFmtId="0" fontId="1" fillId="4" borderId="41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12" borderId="8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/>
    </xf>
    <xf numFmtId="0" fontId="1" fillId="12" borderId="5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</cellXfs>
  <cellStyles count="4">
    <cellStyle name="Normal" xfId="0" builtinId="0"/>
    <cellStyle name="Percent" xfId="3" builtinId="5"/>
    <cellStyle name="Style 1" xfId="1" xr:uid="{00000000-0005-0000-0000-000002000000}"/>
    <cellStyle name="Style 2" xfId="2" xr:uid="{00000000-0005-0000-0000-000003000000}"/>
  </cellStyles>
  <dxfs count="58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33"/>
      <color rgb="FFADE22A"/>
      <color rgb="FF3399FF"/>
      <color rgb="FF99FF66"/>
      <color rgb="FF97F204"/>
      <color rgb="FF99FF33"/>
      <color rgb="FF99CC00"/>
      <color rgb="FFFF9933"/>
      <color rgb="FFCC9900"/>
      <color rgb="FF46DA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838200</xdr:colOff>
          <xdr:row>1</xdr:row>
          <xdr:rowOff>190500</xdr:rowOff>
        </xdr:from>
        <xdr:to>
          <xdr:col>10</xdr:col>
          <xdr:colOff>1714500</xdr:colOff>
          <xdr:row>1</xdr:row>
          <xdr:rowOff>514350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22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762000</xdr:colOff>
          <xdr:row>0</xdr:row>
          <xdr:rowOff>285750</xdr:rowOff>
        </xdr:from>
        <xdr:to>
          <xdr:col>10</xdr:col>
          <xdr:colOff>1270000</xdr:colOff>
          <xdr:row>0</xdr:row>
          <xdr:rowOff>603250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426770</xdr:colOff>
      <xdr:row>7</xdr:row>
      <xdr:rowOff>194597</xdr:rowOff>
    </xdr:from>
    <xdr:to>
      <xdr:col>17</xdr:col>
      <xdr:colOff>256050</xdr:colOff>
      <xdr:row>12</xdr:row>
      <xdr:rowOff>540039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4189" y="3594920"/>
          <a:ext cx="3956780" cy="33565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&#233;mantalemen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 construction"/>
      <sheetName val="Réalisation"/>
      <sheetName val="Exploitation"/>
      <sheetName val="Démantalement  "/>
      <sheetName val="matrice d'impacts"/>
      <sheetName val="Sheet1"/>
      <sheetName val="Echelles"/>
      <sheetName val="Démantalement"/>
    </sheetNames>
    <sheetDataSet>
      <sheetData sheetId="0"/>
      <sheetData sheetId="1"/>
      <sheetData sheetId="2"/>
      <sheetData sheetId="3">
        <row r="2">
          <cell r="W2" t="str">
            <v>Moyenne</v>
          </cell>
        </row>
        <row r="23">
          <cell r="W23" t="str">
            <v>Mineure</v>
          </cell>
        </row>
        <row r="37">
          <cell r="W37" t="str">
            <v>Mineure</v>
          </cell>
        </row>
        <row r="40">
          <cell r="W40" t="str">
            <v>Mineure</v>
          </cell>
        </row>
      </sheetData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65"/>
  <sheetViews>
    <sheetView zoomScale="40" zoomScaleNormal="40" workbookViewId="0">
      <pane ySplit="1" topLeftCell="A2" activePane="bottomLeft" state="frozen"/>
      <selection pane="bottomLeft" activeCell="AC1" sqref="AC1"/>
    </sheetView>
  </sheetViews>
  <sheetFormatPr defaultColWidth="11.453125" defaultRowHeight="18"/>
  <cols>
    <col min="1" max="1" width="38.81640625" style="137" customWidth="1"/>
    <col min="2" max="2" width="29.54296875" style="137" customWidth="1"/>
    <col min="3" max="3" width="22.54296875" style="137" customWidth="1"/>
    <col min="4" max="4" width="11.453125" style="137"/>
    <col min="5" max="5" width="17.7265625" style="137" customWidth="1"/>
    <col min="6" max="6" width="17.26953125" style="137" customWidth="1"/>
    <col min="7" max="8" width="11.453125" style="137"/>
    <col min="9" max="9" width="13.7265625" style="137" customWidth="1"/>
    <col min="10" max="12" width="17" style="137" customWidth="1"/>
    <col min="13" max="13" width="20.453125" style="137" customWidth="1"/>
    <col min="14" max="15" width="11.453125" style="137"/>
    <col min="16" max="18" width="14.1796875" style="137" customWidth="1"/>
    <col min="19" max="22" width="14" style="137" customWidth="1"/>
    <col min="23" max="23" width="16" style="137" customWidth="1"/>
    <col min="24" max="24" width="16.54296875" style="137" customWidth="1"/>
    <col min="25" max="25" width="15.7265625" style="137" customWidth="1"/>
    <col min="26" max="26" width="11.453125" style="137"/>
    <col min="27" max="27" width="11.453125" style="206"/>
    <col min="28" max="28" width="17.26953125" style="137" customWidth="1"/>
    <col min="29" max="29" width="18" style="137" customWidth="1"/>
    <col min="30" max="30" width="25.81640625" style="137" customWidth="1"/>
    <col min="31" max="16384" width="11.453125" style="137"/>
  </cols>
  <sheetData>
    <row r="1" spans="1:34" ht="95.25" customHeight="1" thickBot="1">
      <c r="A1" s="131" t="s">
        <v>89</v>
      </c>
      <c r="B1" s="132" t="s">
        <v>0</v>
      </c>
      <c r="C1" s="133" t="s">
        <v>1</v>
      </c>
      <c r="D1" s="136" t="s">
        <v>274</v>
      </c>
      <c r="E1" s="136" t="s">
        <v>275</v>
      </c>
      <c r="F1" s="341" t="s">
        <v>119</v>
      </c>
      <c r="G1" s="400" t="s">
        <v>116</v>
      </c>
      <c r="H1" s="401"/>
      <c r="I1" s="132" t="s">
        <v>152</v>
      </c>
      <c r="J1" s="341" t="s">
        <v>70</v>
      </c>
      <c r="K1" s="132" t="s">
        <v>47</v>
      </c>
      <c r="L1" s="132" t="s">
        <v>279</v>
      </c>
      <c r="M1" s="342" t="s">
        <v>181</v>
      </c>
      <c r="N1" s="132" t="s">
        <v>47</v>
      </c>
      <c r="O1" s="186" t="s">
        <v>280</v>
      </c>
      <c r="P1" s="343" t="s">
        <v>72</v>
      </c>
      <c r="Q1" s="186" t="s">
        <v>47</v>
      </c>
      <c r="R1" s="186" t="s">
        <v>280</v>
      </c>
      <c r="S1" s="343" t="s">
        <v>159</v>
      </c>
      <c r="T1" s="186" t="s">
        <v>47</v>
      </c>
      <c r="U1" s="186" t="s">
        <v>280</v>
      </c>
      <c r="V1" s="186" t="s">
        <v>281</v>
      </c>
      <c r="W1" s="186" t="s">
        <v>155</v>
      </c>
      <c r="X1" s="132" t="s">
        <v>153</v>
      </c>
      <c r="Y1" s="341" t="s">
        <v>63</v>
      </c>
      <c r="Z1" s="135" t="s">
        <v>213</v>
      </c>
      <c r="AA1" s="207" t="s">
        <v>282</v>
      </c>
      <c r="AB1" s="132" t="s">
        <v>222</v>
      </c>
      <c r="AC1" s="340" t="s">
        <v>52</v>
      </c>
      <c r="AD1" s="136" t="s">
        <v>224</v>
      </c>
    </row>
    <row r="2" spans="1:34" ht="19.5" customHeight="1" thickTop="1">
      <c r="A2" s="396" t="s">
        <v>33</v>
      </c>
      <c r="B2" s="138" t="s">
        <v>223</v>
      </c>
      <c r="C2" s="139" t="s">
        <v>2</v>
      </c>
      <c r="D2" s="232">
        <v>10</v>
      </c>
      <c r="E2" s="233">
        <v>30</v>
      </c>
      <c r="F2" s="151">
        <v>19</v>
      </c>
      <c r="G2" s="140">
        <f t="shared" ref="G2:G3" si="0">IF(AND(F2&gt;=D2,F2&lt;=E2),0,IF(AND(F2&gt;=D2*0.8,F2&lt;=E2*1.2),1,2))</f>
        <v>0</v>
      </c>
      <c r="H2" s="399">
        <f>AVERAGE(G2:G22)</f>
        <v>0.19047619047619047</v>
      </c>
      <c r="I2" s="361" t="str">
        <f>IF(H2&lt;=0.5,"Faible",IF(H2&lt;=1,"Moyenne","Forte"))</f>
        <v>Faible</v>
      </c>
      <c r="J2" s="141">
        <v>19</v>
      </c>
      <c r="K2" s="141">
        <f>IF(AND(J2&gt;=D2,J2&lt;=E2),0,IF(AND(J2&gt;=D2*0.8,J2&lt;=E2*1.2),1,2))</f>
        <v>0</v>
      </c>
      <c r="L2" s="361">
        <f>AVERAGE(K2:K22)</f>
        <v>0.19047619047619047</v>
      </c>
      <c r="M2" s="141">
        <v>20.908999999999999</v>
      </c>
      <c r="N2" s="142">
        <f>IF(AND(M2&gt;=D2,M2&lt;=E2),0,
 IF(AND(M2&gt;=D2*0.8,M2&lt;=E2*1.2),1,
 2))</f>
        <v>0</v>
      </c>
      <c r="O2" s="361">
        <f>AVERAGE(N2:N22)</f>
        <v>0.19047619047619047</v>
      </c>
      <c r="P2" s="223">
        <v>19</v>
      </c>
      <c r="Q2" s="286">
        <f t="shared" ref="Q2:Q33" si="1">IF(AND(P2&gt;=D2,P2&lt;=E2),0,IF(AND(P2&gt;=D2*0.8,P2&lt;=E2*1.2),1,2))</f>
        <v>0</v>
      </c>
      <c r="R2" s="361">
        <f>AVERAGE(Q2:Q22)</f>
        <v>0.19047619047619047</v>
      </c>
      <c r="S2" s="283">
        <f>AVERAGE(N2:N22)</f>
        <v>0.19047619047619047</v>
      </c>
      <c r="T2" s="281">
        <f t="shared" ref="T2:T33" si="2">IF(AND(S2&gt;=D2,S2&lt;=E2),0,IF(AND(S2&gt;=D2*0.8,S2&lt;=E2*1.2),1,2))</f>
        <v>2</v>
      </c>
      <c r="U2" s="384">
        <f>AVERAGE(T2:T22)</f>
        <v>0.2857142857142857</v>
      </c>
      <c r="V2" s="384">
        <f>AVERAGE(L2,O2,R2,U2)</f>
        <v>0.21428571428571427</v>
      </c>
      <c r="W2" s="361" t="str">
        <f>IF(V2&lt;=0.5,"Faible",IF(V2&lt;=1,"Moyenne","Forte"))</f>
        <v>Faible</v>
      </c>
      <c r="X2" s="361" t="str">
        <f>IF(AND(W2="FORTE",I2="FORTE"),"FORTE",
 IF(AND(W2="FORTE",I2="MOYENNE"),"FORTE",
 IF(AND(W2="FORTE",I2="FAIBLE"),"MOYENNE",
 IF(AND(W2="MOYENNE",I2="FORTE"),"FORTE",
 IF(AND(W2="MOYENNE",I2="MOYENNE"),"MOYENNE",
 IF(AND(W2="MOYENNE",I2="FAIBLE"),"FAIBLE",
 IF(AND(W2="FAIBLE",I2="FORTE"),"MOYENNE",
 IF(AND(W2="FAIBLE",I2="MOYENNE"),"FAIBLE",
 IF(AND(W2="FAIBLE",I2="FAIBLE"),"FAIBLE","Erreur")))))))))</f>
        <v>FAIBLE</v>
      </c>
      <c r="Y2" s="361" t="s">
        <v>57</v>
      </c>
      <c r="Z2" s="361">
        <f>IF(Y2="Ponctuelle",0,
IF(Y2="Locale",0.5,
IF(Y2="Régionale",1.25,
IF(Y2="Nationale",2,
""))))</f>
        <v>0.5</v>
      </c>
      <c r="AA2" s="361" t="str">
        <f>IF(V2&lt;=1,"FAIBLE",IF(V2=2,"MOYENNE","FORTE"))</f>
        <v>FAIBLE</v>
      </c>
      <c r="AB2" s="361" t="str">
        <f>IF(X2="ABSOLUE","Inadmissible",
IF(X2="Forte",
    IF(AA2="Forte",
        IF(OR(Y2="Nationale",Y2="Régionale",Y2="Locale"),"Majeure","Moyenne"),
    IF(AA2="Moyenne",
        IF(OR(Y2="Nationale",Y2="Régionale"),"Majeure","Moyenne"),
    IF(AA2="Faible",
        IF(OR(Y2="Nationale",Y2="Régionale"),"Majeure","Mineure"),
    ""))),
IF(X2="Moyenne",
    IF(AA2="Forte",
        IF(Y2="Nationale","Majeure",
        IF(Y2="Régionale","Moyenne","Moyenne")),
    IF(AA2="Moyenne","Moyenne",
    IF(AA2="Faible",
        IF(OR(Y2="Nationale",Y2="Régionale"),"Moyenne","Mineure"),
    ""))),
IF(X2="Faible",
    IF(AA2="Forte",
        IF(OR(Y2="Nationale",Y2="Régionale"),"Moyenne","Mineure"),
    IF(AA2="Moyenne","Mineure",
    "Mineure")),
IF(X2="Très Faible",
    IF(AA2="Forte","Mineure",
    "Mineure à nulle"))))))</f>
        <v>Mineure</v>
      </c>
      <c r="AC2" s="359" t="s">
        <v>137</v>
      </c>
      <c r="AD2" s="359" t="str">
        <f>IF(OR(AB2="Mineure",AB2="Mineure à nulle"),"Mineure",
 IF(AB2="Moyenne",
    IF(AC2="Courte","Mineure","Moyenne"),
 IF(AB2="Majeure",
    IF(AC2="Courte","Moyenne","Majeure"),
 "")))</f>
        <v>Mineure</v>
      </c>
    </row>
    <row r="3" spans="1:34" ht="18.5" thickBot="1">
      <c r="A3" s="397"/>
      <c r="B3" s="144" t="s">
        <v>36</v>
      </c>
      <c r="C3" s="145" t="s">
        <v>4</v>
      </c>
      <c r="D3" s="232">
        <v>6.5</v>
      </c>
      <c r="E3" s="233">
        <v>8.5</v>
      </c>
      <c r="F3" s="151">
        <v>7</v>
      </c>
      <c r="G3" s="140">
        <f t="shared" si="0"/>
        <v>0</v>
      </c>
      <c r="H3" s="377"/>
      <c r="I3" s="353"/>
      <c r="J3" s="141">
        <v>7</v>
      </c>
      <c r="K3" s="141">
        <f t="shared" ref="K3" si="3">IF(AND(J3&gt;=D3,J3&lt;=E3),0,IF(AND(J3&gt;=D3*0.8,J3&lt;=E3*1.2),1,2))</f>
        <v>0</v>
      </c>
      <c r="L3" s="353"/>
      <c r="M3" s="141">
        <v>7</v>
      </c>
      <c r="N3" s="146">
        <f t="shared" ref="N3:N38" si="4">IF(AND(M3&gt;=D3,M3&lt;=E3),0,IF(AND(M3&gt;=D3*0.8,M3&lt;=E3*1.2),1,2))</f>
        <v>0</v>
      </c>
      <c r="O3" s="353"/>
      <c r="P3" s="208">
        <v>7</v>
      </c>
      <c r="Q3" s="287">
        <f t="shared" si="1"/>
        <v>0</v>
      </c>
      <c r="R3" s="353"/>
      <c r="S3" s="284">
        <v>7</v>
      </c>
      <c r="T3" s="278">
        <f t="shared" si="2"/>
        <v>0</v>
      </c>
      <c r="U3" s="347"/>
      <c r="V3" s="347"/>
      <c r="W3" s="353"/>
      <c r="X3" s="353"/>
      <c r="Y3" s="353"/>
      <c r="Z3" s="353"/>
      <c r="AA3" s="353"/>
      <c r="AB3" s="353"/>
      <c r="AC3" s="353"/>
      <c r="AD3" s="353"/>
    </row>
    <row r="4" spans="1:34" ht="63.75" customHeight="1" thickBot="1">
      <c r="A4" s="397"/>
      <c r="B4" s="144" t="s">
        <v>5</v>
      </c>
      <c r="C4" s="145" t="s">
        <v>6</v>
      </c>
      <c r="D4" s="234">
        <v>0</v>
      </c>
      <c r="E4" s="233">
        <v>5</v>
      </c>
      <c r="F4" s="151">
        <v>4</v>
      </c>
      <c r="G4" s="140">
        <f>IF(AND(F4&gt;=D4,F4&lt;=E4),0,IF(AND(F4&gt;=D4*0.8,F4&lt;=E4*1.2),1,2))</f>
        <v>0</v>
      </c>
      <c r="H4" s="377"/>
      <c r="I4" s="353"/>
      <c r="J4" s="151">
        <v>4</v>
      </c>
      <c r="K4" s="141">
        <f>IF(AND(J4&gt;=D4,J4&lt;=E4),0,IF(AND(J4&gt;=D4*0.8,J4&lt;=E4*1.2),1,2))</f>
        <v>0</v>
      </c>
      <c r="L4" s="353"/>
      <c r="M4" s="151">
        <v>4</v>
      </c>
      <c r="N4" s="146">
        <f t="shared" si="4"/>
        <v>0</v>
      </c>
      <c r="O4" s="353"/>
      <c r="P4" s="151">
        <v>0</v>
      </c>
      <c r="Q4" s="287">
        <f t="shared" si="1"/>
        <v>0</v>
      </c>
      <c r="R4" s="353"/>
      <c r="S4" s="151">
        <v>4</v>
      </c>
      <c r="T4" s="278">
        <f t="shared" si="2"/>
        <v>0</v>
      </c>
      <c r="U4" s="347"/>
      <c r="V4" s="347"/>
      <c r="W4" s="353"/>
      <c r="X4" s="353"/>
      <c r="Y4" s="353"/>
      <c r="Z4" s="353"/>
      <c r="AA4" s="353"/>
      <c r="AB4" s="353"/>
      <c r="AC4" s="353"/>
      <c r="AD4" s="353"/>
      <c r="AE4" s="10" t="s">
        <v>70</v>
      </c>
      <c r="AF4" s="11" t="s">
        <v>158</v>
      </c>
      <c r="AG4" s="11" t="s">
        <v>72</v>
      </c>
      <c r="AH4" s="12" t="s">
        <v>159</v>
      </c>
    </row>
    <row r="5" spans="1:34">
      <c r="A5" s="397"/>
      <c r="B5" s="144" t="s">
        <v>7</v>
      </c>
      <c r="C5" s="145" t="s">
        <v>8</v>
      </c>
      <c r="D5" s="234">
        <v>0</v>
      </c>
      <c r="E5" s="233">
        <v>2000</v>
      </c>
      <c r="F5" s="151">
        <v>2001</v>
      </c>
      <c r="G5" s="140">
        <f t="shared" ref="G5:G38" si="5">IF(AND(F5&gt;=D5,F5&lt;=E5),0,IF(AND(F5&gt;=D5*0.8,F5&lt;=E5*1.2),1,2))</f>
        <v>1</v>
      </c>
      <c r="H5" s="377"/>
      <c r="I5" s="353"/>
      <c r="J5" s="151">
        <v>2001</v>
      </c>
      <c r="K5" s="141">
        <f t="shared" ref="K5:K58" si="6">IF(AND(J5&gt;=D5,J5&lt;=E5),0,IF(AND(J5&gt;=D5*0.8,J5&lt;=E5*1.2),1,2))</f>
        <v>1</v>
      </c>
      <c r="L5" s="353"/>
      <c r="M5" s="151">
        <v>2001</v>
      </c>
      <c r="N5" s="146">
        <f t="shared" si="4"/>
        <v>1</v>
      </c>
      <c r="O5" s="353"/>
      <c r="P5" s="151">
        <v>2001</v>
      </c>
      <c r="Q5" s="287">
        <f t="shared" si="1"/>
        <v>1</v>
      </c>
      <c r="R5" s="353"/>
      <c r="S5" s="151">
        <v>2001</v>
      </c>
      <c r="T5" s="278">
        <f t="shared" si="2"/>
        <v>1</v>
      </c>
      <c r="U5" s="347"/>
      <c r="V5" s="347"/>
      <c r="W5" s="353"/>
      <c r="X5" s="353"/>
      <c r="Y5" s="353"/>
      <c r="Z5" s="353"/>
      <c r="AA5" s="353"/>
      <c r="AB5" s="353"/>
      <c r="AC5" s="353"/>
      <c r="AD5" s="353"/>
    </row>
    <row r="6" spans="1:34">
      <c r="A6" s="397"/>
      <c r="B6" s="144" t="s">
        <v>9</v>
      </c>
      <c r="C6" s="145" t="s">
        <v>10</v>
      </c>
      <c r="D6" s="234">
        <v>0</v>
      </c>
      <c r="E6" s="233">
        <v>5</v>
      </c>
      <c r="F6" s="151">
        <v>5</v>
      </c>
      <c r="G6" s="140">
        <f t="shared" si="5"/>
        <v>0</v>
      </c>
      <c r="H6" s="377"/>
      <c r="I6" s="353"/>
      <c r="J6" s="151">
        <v>5</v>
      </c>
      <c r="K6" s="141">
        <f t="shared" si="6"/>
        <v>0</v>
      </c>
      <c r="L6" s="353"/>
      <c r="M6" s="151">
        <v>5</v>
      </c>
      <c r="N6" s="146">
        <f t="shared" si="4"/>
        <v>0</v>
      </c>
      <c r="O6" s="353"/>
      <c r="P6" s="151">
        <v>5</v>
      </c>
      <c r="Q6" s="287">
        <f t="shared" si="1"/>
        <v>0</v>
      </c>
      <c r="R6" s="353"/>
      <c r="S6" s="151">
        <v>5</v>
      </c>
      <c r="T6" s="278">
        <f t="shared" si="2"/>
        <v>0</v>
      </c>
      <c r="U6" s="347"/>
      <c r="V6" s="347"/>
      <c r="W6" s="353"/>
      <c r="X6" s="353"/>
      <c r="Y6" s="353"/>
      <c r="Z6" s="353"/>
      <c r="AA6" s="353"/>
      <c r="AB6" s="353"/>
      <c r="AC6" s="353"/>
      <c r="AD6" s="353"/>
    </row>
    <row r="7" spans="1:34">
      <c r="A7" s="397"/>
      <c r="B7" s="144" t="s">
        <v>11</v>
      </c>
      <c r="C7" s="145" t="s">
        <v>10</v>
      </c>
      <c r="D7" s="234">
        <v>0</v>
      </c>
      <c r="E7" s="233">
        <v>25</v>
      </c>
      <c r="F7" s="151">
        <v>26</v>
      </c>
      <c r="G7" s="141">
        <f t="shared" si="5"/>
        <v>1</v>
      </c>
      <c r="H7" s="377"/>
      <c r="I7" s="353"/>
      <c r="J7" s="151">
        <v>26</v>
      </c>
      <c r="K7" s="141">
        <f t="shared" si="6"/>
        <v>1</v>
      </c>
      <c r="L7" s="353"/>
      <c r="M7" s="151">
        <v>26</v>
      </c>
      <c r="N7" s="146">
        <f t="shared" si="4"/>
        <v>1</v>
      </c>
      <c r="O7" s="353"/>
      <c r="P7" s="151">
        <v>26</v>
      </c>
      <c r="Q7" s="287">
        <f t="shared" si="1"/>
        <v>1</v>
      </c>
      <c r="R7" s="353"/>
      <c r="S7" s="151">
        <v>26</v>
      </c>
      <c r="T7" s="278">
        <f t="shared" si="2"/>
        <v>1</v>
      </c>
      <c r="U7" s="347"/>
      <c r="V7" s="347"/>
      <c r="W7" s="353"/>
      <c r="X7" s="353"/>
      <c r="Y7" s="353"/>
      <c r="Z7" s="353"/>
      <c r="AA7" s="353"/>
      <c r="AB7" s="353"/>
      <c r="AC7" s="353"/>
      <c r="AD7" s="353"/>
    </row>
    <row r="8" spans="1:34">
      <c r="A8" s="397"/>
      <c r="B8" s="144" t="s">
        <v>12</v>
      </c>
      <c r="C8" s="145" t="s">
        <v>10</v>
      </c>
      <c r="D8" s="234">
        <v>0</v>
      </c>
      <c r="E8" s="233">
        <v>5</v>
      </c>
      <c r="F8" s="151">
        <v>8</v>
      </c>
      <c r="G8" s="141">
        <f t="shared" si="5"/>
        <v>2</v>
      </c>
      <c r="H8" s="377"/>
      <c r="I8" s="353"/>
      <c r="J8" s="151">
        <v>8</v>
      </c>
      <c r="K8" s="141">
        <f t="shared" si="6"/>
        <v>2</v>
      </c>
      <c r="L8" s="353"/>
      <c r="M8" s="151">
        <v>8</v>
      </c>
      <c r="N8" s="146">
        <f t="shared" si="4"/>
        <v>2</v>
      </c>
      <c r="O8" s="353"/>
      <c r="P8" s="151">
        <v>8</v>
      </c>
      <c r="Q8" s="287">
        <f t="shared" si="1"/>
        <v>2</v>
      </c>
      <c r="R8" s="353"/>
      <c r="S8" s="151">
        <v>8</v>
      </c>
      <c r="T8" s="278">
        <f t="shared" si="2"/>
        <v>2</v>
      </c>
      <c r="U8" s="347"/>
      <c r="V8" s="347"/>
      <c r="W8" s="353"/>
      <c r="X8" s="353"/>
      <c r="Y8" s="353"/>
      <c r="Z8" s="353"/>
      <c r="AA8" s="353"/>
      <c r="AB8" s="353"/>
      <c r="AC8" s="353"/>
      <c r="AD8" s="353"/>
    </row>
    <row r="9" spans="1:34">
      <c r="A9" s="397"/>
      <c r="B9" s="144" t="s">
        <v>13</v>
      </c>
      <c r="C9" s="145" t="s">
        <v>10</v>
      </c>
      <c r="D9" s="234">
        <v>0</v>
      </c>
      <c r="E9" s="233">
        <v>50</v>
      </c>
      <c r="F9" s="151">
        <v>0</v>
      </c>
      <c r="G9" s="141">
        <f t="shared" si="5"/>
        <v>0</v>
      </c>
      <c r="H9" s="377"/>
      <c r="I9" s="353"/>
      <c r="J9" s="151">
        <v>0</v>
      </c>
      <c r="K9" s="141">
        <f t="shared" si="6"/>
        <v>0</v>
      </c>
      <c r="L9" s="353"/>
      <c r="M9" s="151">
        <v>0</v>
      </c>
      <c r="N9" s="146">
        <f t="shared" si="4"/>
        <v>0</v>
      </c>
      <c r="O9" s="353"/>
      <c r="P9" s="151">
        <v>0</v>
      </c>
      <c r="Q9" s="287">
        <f t="shared" si="1"/>
        <v>0</v>
      </c>
      <c r="R9" s="353"/>
      <c r="S9" s="151">
        <v>0</v>
      </c>
      <c r="T9" s="278">
        <f t="shared" si="2"/>
        <v>0</v>
      </c>
      <c r="U9" s="347"/>
      <c r="V9" s="347"/>
      <c r="W9" s="353"/>
      <c r="X9" s="353"/>
      <c r="Y9" s="353"/>
      <c r="Z9" s="353"/>
      <c r="AA9" s="353"/>
      <c r="AB9" s="353"/>
      <c r="AC9" s="353"/>
      <c r="AD9" s="353"/>
    </row>
    <row r="10" spans="1:34">
      <c r="A10" s="397"/>
      <c r="B10" s="144" t="s">
        <v>14</v>
      </c>
      <c r="C10" s="145" t="s">
        <v>10</v>
      </c>
      <c r="D10" s="234">
        <v>0</v>
      </c>
      <c r="E10" s="233" t="s">
        <v>257</v>
      </c>
      <c r="F10" s="151">
        <v>0</v>
      </c>
      <c r="G10" s="141">
        <f t="shared" si="5"/>
        <v>0</v>
      </c>
      <c r="H10" s="377"/>
      <c r="I10" s="353"/>
      <c r="J10" s="151">
        <v>0</v>
      </c>
      <c r="K10" s="141">
        <f t="shared" si="6"/>
        <v>0</v>
      </c>
      <c r="L10" s="353"/>
      <c r="M10" s="151">
        <v>0</v>
      </c>
      <c r="N10" s="146">
        <f t="shared" si="4"/>
        <v>0</v>
      </c>
      <c r="O10" s="353"/>
      <c r="P10" s="151">
        <v>0</v>
      </c>
      <c r="Q10" s="287">
        <f t="shared" si="1"/>
        <v>0</v>
      </c>
      <c r="R10" s="353"/>
      <c r="S10" s="151">
        <v>0</v>
      </c>
      <c r="T10" s="278">
        <f t="shared" si="2"/>
        <v>0</v>
      </c>
      <c r="U10" s="347"/>
      <c r="V10" s="347"/>
      <c r="W10" s="353"/>
      <c r="X10" s="353"/>
      <c r="Y10" s="353"/>
      <c r="Z10" s="353"/>
      <c r="AA10" s="353"/>
      <c r="AB10" s="353"/>
      <c r="AC10" s="353"/>
      <c r="AD10" s="353"/>
    </row>
    <row r="11" spans="1:34">
      <c r="A11" s="397"/>
      <c r="B11" s="144" t="s">
        <v>15</v>
      </c>
      <c r="C11" s="145" t="s">
        <v>10</v>
      </c>
      <c r="D11" s="234">
        <v>0</v>
      </c>
      <c r="E11" s="233" t="s">
        <v>258</v>
      </c>
      <c r="F11" s="151">
        <v>0</v>
      </c>
      <c r="G11" s="141">
        <f t="shared" si="5"/>
        <v>0</v>
      </c>
      <c r="H11" s="377"/>
      <c r="I11" s="353"/>
      <c r="J11" s="151">
        <v>0</v>
      </c>
      <c r="K11" s="141">
        <f t="shared" si="6"/>
        <v>0</v>
      </c>
      <c r="L11" s="353"/>
      <c r="M11" s="151">
        <v>0</v>
      </c>
      <c r="N11" s="146">
        <f t="shared" si="4"/>
        <v>0</v>
      </c>
      <c r="O11" s="353"/>
      <c r="P11" s="151">
        <v>0</v>
      </c>
      <c r="Q11" s="287">
        <f t="shared" si="1"/>
        <v>0</v>
      </c>
      <c r="R11" s="353"/>
      <c r="S11" s="151">
        <v>0</v>
      </c>
      <c r="T11" s="278">
        <f t="shared" si="2"/>
        <v>0</v>
      </c>
      <c r="U11" s="347"/>
      <c r="V11" s="347"/>
      <c r="W11" s="353"/>
      <c r="X11" s="353"/>
      <c r="Y11" s="353"/>
      <c r="Z11" s="353"/>
      <c r="AA11" s="353"/>
      <c r="AB11" s="353"/>
      <c r="AC11" s="353"/>
      <c r="AD11" s="353"/>
    </row>
    <row r="12" spans="1:34">
      <c r="A12" s="397"/>
      <c r="B12" s="144" t="s">
        <v>16</v>
      </c>
      <c r="C12" s="145" t="s">
        <v>10</v>
      </c>
      <c r="D12" s="234">
        <v>0</v>
      </c>
      <c r="E12" s="233" t="s">
        <v>259</v>
      </c>
      <c r="F12" s="151">
        <v>0</v>
      </c>
      <c r="G12" s="141">
        <f t="shared" si="5"/>
        <v>0</v>
      </c>
      <c r="H12" s="377"/>
      <c r="I12" s="353"/>
      <c r="J12" s="151">
        <v>0</v>
      </c>
      <c r="K12" s="141">
        <f t="shared" si="6"/>
        <v>0</v>
      </c>
      <c r="L12" s="353"/>
      <c r="M12" s="151">
        <v>0</v>
      </c>
      <c r="N12" s="146">
        <f t="shared" si="4"/>
        <v>0</v>
      </c>
      <c r="O12" s="353"/>
      <c r="P12" s="151">
        <v>0</v>
      </c>
      <c r="Q12" s="287">
        <f t="shared" si="1"/>
        <v>0</v>
      </c>
      <c r="R12" s="353"/>
      <c r="S12" s="151">
        <v>0</v>
      </c>
      <c r="T12" s="278">
        <f t="shared" si="2"/>
        <v>0</v>
      </c>
      <c r="U12" s="347"/>
      <c r="V12" s="347"/>
      <c r="W12" s="353"/>
      <c r="X12" s="353"/>
      <c r="Y12" s="353"/>
      <c r="Z12" s="353"/>
      <c r="AA12" s="353"/>
      <c r="AB12" s="353"/>
      <c r="AC12" s="353"/>
      <c r="AD12" s="353"/>
    </row>
    <row r="13" spans="1:34">
      <c r="A13" s="397"/>
      <c r="B13" s="144" t="s">
        <v>17</v>
      </c>
      <c r="C13" s="148" t="s">
        <v>10</v>
      </c>
      <c r="D13" s="234">
        <v>0</v>
      </c>
      <c r="E13" s="233" t="s">
        <v>257</v>
      </c>
      <c r="F13" s="151">
        <v>0</v>
      </c>
      <c r="G13" s="141">
        <f t="shared" si="5"/>
        <v>0</v>
      </c>
      <c r="H13" s="377"/>
      <c r="I13" s="353"/>
      <c r="J13" s="151">
        <v>0</v>
      </c>
      <c r="K13" s="141">
        <f t="shared" si="6"/>
        <v>0</v>
      </c>
      <c r="L13" s="353"/>
      <c r="M13" s="151">
        <v>0</v>
      </c>
      <c r="N13" s="146">
        <f t="shared" si="4"/>
        <v>0</v>
      </c>
      <c r="O13" s="353"/>
      <c r="P13" s="151">
        <v>0</v>
      </c>
      <c r="Q13" s="287">
        <f t="shared" si="1"/>
        <v>0</v>
      </c>
      <c r="R13" s="353"/>
      <c r="S13" s="151">
        <v>0</v>
      </c>
      <c r="T13" s="278">
        <f t="shared" si="2"/>
        <v>0</v>
      </c>
      <c r="U13" s="347"/>
      <c r="V13" s="347"/>
      <c r="W13" s="353"/>
      <c r="X13" s="353"/>
      <c r="Y13" s="353"/>
      <c r="Z13" s="353"/>
      <c r="AA13" s="353"/>
      <c r="AB13" s="353"/>
      <c r="AC13" s="353"/>
      <c r="AD13" s="353"/>
    </row>
    <row r="14" spans="1:34">
      <c r="A14" s="397"/>
      <c r="B14" s="149" t="s">
        <v>38</v>
      </c>
      <c r="C14" s="150"/>
      <c r="D14" s="234">
        <v>0</v>
      </c>
      <c r="E14" s="233" t="s">
        <v>260</v>
      </c>
      <c r="F14" s="151">
        <v>0</v>
      </c>
      <c r="G14" s="141">
        <f t="shared" si="5"/>
        <v>0</v>
      </c>
      <c r="H14" s="377"/>
      <c r="I14" s="353"/>
      <c r="J14" s="151">
        <v>0</v>
      </c>
      <c r="K14" s="141">
        <f t="shared" si="6"/>
        <v>0</v>
      </c>
      <c r="L14" s="353"/>
      <c r="M14" s="151">
        <v>0</v>
      </c>
      <c r="N14" s="146">
        <f t="shared" si="4"/>
        <v>0</v>
      </c>
      <c r="O14" s="353"/>
      <c r="P14" s="151">
        <v>0</v>
      </c>
      <c r="Q14" s="287">
        <f t="shared" si="1"/>
        <v>0</v>
      </c>
      <c r="R14" s="353"/>
      <c r="S14" s="151">
        <v>0</v>
      </c>
      <c r="T14" s="278">
        <f t="shared" si="2"/>
        <v>0</v>
      </c>
      <c r="U14" s="347"/>
      <c r="V14" s="347"/>
      <c r="W14" s="353"/>
      <c r="X14" s="353"/>
      <c r="Y14" s="353"/>
      <c r="Z14" s="353"/>
      <c r="AA14" s="353"/>
      <c r="AB14" s="353"/>
      <c r="AC14" s="353"/>
      <c r="AD14" s="353"/>
    </row>
    <row r="15" spans="1:34">
      <c r="A15" s="397"/>
      <c r="B15" s="149" t="s">
        <v>39</v>
      </c>
      <c r="C15" s="150"/>
      <c r="D15" s="234">
        <v>0</v>
      </c>
      <c r="E15" s="233" t="s">
        <v>261</v>
      </c>
      <c r="F15" s="151">
        <v>0</v>
      </c>
      <c r="G15" s="141">
        <f t="shared" si="5"/>
        <v>0</v>
      </c>
      <c r="H15" s="377"/>
      <c r="I15" s="353"/>
      <c r="J15" s="151">
        <v>0</v>
      </c>
      <c r="K15" s="141">
        <f t="shared" si="6"/>
        <v>0</v>
      </c>
      <c r="L15" s="353"/>
      <c r="M15" s="151">
        <v>0</v>
      </c>
      <c r="N15" s="146">
        <f t="shared" si="4"/>
        <v>0</v>
      </c>
      <c r="O15" s="353"/>
      <c r="P15" s="151">
        <v>0</v>
      </c>
      <c r="Q15" s="287">
        <f t="shared" si="1"/>
        <v>0</v>
      </c>
      <c r="R15" s="353"/>
      <c r="S15" s="151">
        <v>0</v>
      </c>
      <c r="T15" s="278">
        <f t="shared" si="2"/>
        <v>0</v>
      </c>
      <c r="U15" s="347"/>
      <c r="V15" s="347"/>
      <c r="W15" s="353"/>
      <c r="X15" s="353"/>
      <c r="Y15" s="353"/>
      <c r="Z15" s="353"/>
      <c r="AA15" s="353"/>
      <c r="AB15" s="353"/>
      <c r="AC15" s="353"/>
      <c r="AD15" s="353"/>
    </row>
    <row r="16" spans="1:34">
      <c r="A16" s="397"/>
      <c r="B16" s="149" t="s">
        <v>40</v>
      </c>
      <c r="C16" s="150"/>
      <c r="D16" s="234">
        <v>0</v>
      </c>
      <c r="E16" s="233" t="s">
        <v>262</v>
      </c>
      <c r="F16" s="151">
        <v>0</v>
      </c>
      <c r="G16" s="141">
        <f t="shared" si="5"/>
        <v>0</v>
      </c>
      <c r="H16" s="377"/>
      <c r="I16" s="353"/>
      <c r="J16" s="151">
        <v>0</v>
      </c>
      <c r="K16" s="141">
        <f t="shared" si="6"/>
        <v>0</v>
      </c>
      <c r="L16" s="353"/>
      <c r="M16" s="151">
        <v>0</v>
      </c>
      <c r="N16" s="146">
        <f t="shared" si="4"/>
        <v>0</v>
      </c>
      <c r="O16" s="353"/>
      <c r="P16" s="151">
        <v>0</v>
      </c>
      <c r="Q16" s="287">
        <f t="shared" si="1"/>
        <v>0</v>
      </c>
      <c r="R16" s="353"/>
      <c r="S16" s="151">
        <v>0</v>
      </c>
      <c r="T16" s="278">
        <f t="shared" si="2"/>
        <v>0</v>
      </c>
      <c r="U16" s="347"/>
      <c r="V16" s="347"/>
      <c r="W16" s="353"/>
      <c r="X16" s="353"/>
      <c r="Y16" s="353"/>
      <c r="Z16" s="353"/>
      <c r="AA16" s="353"/>
      <c r="AB16" s="353"/>
      <c r="AC16" s="353"/>
      <c r="AD16" s="353"/>
    </row>
    <row r="17" spans="1:30">
      <c r="A17" s="397"/>
      <c r="B17" s="149" t="s">
        <v>41</v>
      </c>
      <c r="C17" s="150"/>
      <c r="D17" s="234">
        <v>0</v>
      </c>
      <c r="E17" s="233">
        <v>2</v>
      </c>
      <c r="F17" s="151">
        <v>0</v>
      </c>
      <c r="G17" s="141">
        <f t="shared" si="5"/>
        <v>0</v>
      </c>
      <c r="H17" s="377"/>
      <c r="I17" s="353"/>
      <c r="J17" s="151">
        <v>0</v>
      </c>
      <c r="K17" s="141">
        <f t="shared" si="6"/>
        <v>0</v>
      </c>
      <c r="L17" s="353"/>
      <c r="M17" s="151">
        <v>0</v>
      </c>
      <c r="N17" s="146">
        <f t="shared" si="4"/>
        <v>0</v>
      </c>
      <c r="O17" s="353"/>
      <c r="P17" s="151">
        <v>0</v>
      </c>
      <c r="Q17" s="287">
        <f t="shared" si="1"/>
        <v>0</v>
      </c>
      <c r="R17" s="353"/>
      <c r="S17" s="151">
        <v>0</v>
      </c>
      <c r="T17" s="278">
        <f t="shared" si="2"/>
        <v>0</v>
      </c>
      <c r="U17" s="347"/>
      <c r="V17" s="347"/>
      <c r="W17" s="353"/>
      <c r="X17" s="353"/>
      <c r="Y17" s="353"/>
      <c r="Z17" s="353"/>
      <c r="AA17" s="353"/>
      <c r="AB17" s="353"/>
      <c r="AC17" s="353"/>
      <c r="AD17" s="353"/>
    </row>
    <row r="18" spans="1:30">
      <c r="A18" s="397"/>
      <c r="B18" s="149" t="s">
        <v>42</v>
      </c>
      <c r="C18" s="150"/>
      <c r="D18" s="234">
        <v>0</v>
      </c>
      <c r="E18" s="233">
        <v>3</v>
      </c>
      <c r="F18" s="151">
        <v>0</v>
      </c>
      <c r="G18" s="141">
        <f t="shared" si="5"/>
        <v>0</v>
      </c>
      <c r="H18" s="377"/>
      <c r="I18" s="353"/>
      <c r="J18" s="151">
        <v>0</v>
      </c>
      <c r="K18" s="141">
        <f t="shared" si="6"/>
        <v>0</v>
      </c>
      <c r="L18" s="353"/>
      <c r="M18" s="151">
        <v>0</v>
      </c>
      <c r="N18" s="146">
        <f t="shared" si="4"/>
        <v>0</v>
      </c>
      <c r="O18" s="353"/>
      <c r="P18" s="151">
        <v>0</v>
      </c>
      <c r="Q18" s="287">
        <f t="shared" si="1"/>
        <v>0</v>
      </c>
      <c r="R18" s="353"/>
      <c r="S18" s="151">
        <v>0</v>
      </c>
      <c r="T18" s="278">
        <f t="shared" si="2"/>
        <v>0</v>
      </c>
      <c r="U18" s="347"/>
      <c r="V18" s="347"/>
      <c r="W18" s="353"/>
      <c r="X18" s="353"/>
      <c r="Y18" s="353"/>
      <c r="Z18" s="353"/>
      <c r="AA18" s="353"/>
      <c r="AB18" s="353"/>
      <c r="AC18" s="353"/>
      <c r="AD18" s="353"/>
    </row>
    <row r="19" spans="1:30">
      <c r="A19" s="397"/>
      <c r="B19" s="149" t="s">
        <v>43</v>
      </c>
      <c r="C19" s="150"/>
      <c r="D19" s="234">
        <v>0</v>
      </c>
      <c r="E19" s="233" t="s">
        <v>263</v>
      </c>
      <c r="F19" s="151">
        <v>0</v>
      </c>
      <c r="G19" s="141">
        <f t="shared" si="5"/>
        <v>0</v>
      </c>
      <c r="H19" s="377"/>
      <c r="I19" s="353"/>
      <c r="J19" s="151">
        <v>0</v>
      </c>
      <c r="K19" s="141">
        <f t="shared" si="6"/>
        <v>0</v>
      </c>
      <c r="L19" s="353"/>
      <c r="M19" s="151">
        <v>0</v>
      </c>
      <c r="N19" s="146">
        <f t="shared" si="4"/>
        <v>0</v>
      </c>
      <c r="O19" s="353"/>
      <c r="P19" s="151">
        <v>0</v>
      </c>
      <c r="Q19" s="287">
        <f t="shared" si="1"/>
        <v>0</v>
      </c>
      <c r="R19" s="353"/>
      <c r="S19" s="151">
        <v>0</v>
      </c>
      <c r="T19" s="278">
        <f t="shared" si="2"/>
        <v>0</v>
      </c>
      <c r="U19" s="347"/>
      <c r="V19" s="347"/>
      <c r="W19" s="353"/>
      <c r="X19" s="353"/>
      <c r="Y19" s="353"/>
      <c r="Z19" s="353"/>
      <c r="AA19" s="353"/>
      <c r="AB19" s="353"/>
      <c r="AC19" s="353"/>
      <c r="AD19" s="353"/>
    </row>
    <row r="20" spans="1:30">
      <c r="A20" s="397"/>
      <c r="B20" s="149" t="s">
        <v>44</v>
      </c>
      <c r="C20" s="150"/>
      <c r="D20" s="234">
        <v>0</v>
      </c>
      <c r="E20" s="233" t="s">
        <v>264</v>
      </c>
      <c r="F20" s="151">
        <v>1.2E-2</v>
      </c>
      <c r="G20" s="141">
        <f t="shared" si="5"/>
        <v>0</v>
      </c>
      <c r="H20" s="377"/>
      <c r="I20" s="353"/>
      <c r="J20" s="151">
        <v>1.2E-2</v>
      </c>
      <c r="K20" s="141">
        <f t="shared" si="6"/>
        <v>0</v>
      </c>
      <c r="L20" s="353"/>
      <c r="M20" s="151">
        <v>1.2E-2</v>
      </c>
      <c r="N20" s="146">
        <f t="shared" si="4"/>
        <v>0</v>
      </c>
      <c r="O20" s="353"/>
      <c r="P20" s="151">
        <v>1.2E-2</v>
      </c>
      <c r="Q20" s="287">
        <f t="shared" si="1"/>
        <v>0</v>
      </c>
      <c r="R20" s="353"/>
      <c r="S20" s="151">
        <v>1.2E-2</v>
      </c>
      <c r="T20" s="278">
        <f t="shared" si="2"/>
        <v>0</v>
      </c>
      <c r="U20" s="347"/>
      <c r="V20" s="347"/>
      <c r="W20" s="353"/>
      <c r="X20" s="353"/>
      <c r="Y20" s="353"/>
      <c r="Z20" s="353"/>
      <c r="AA20" s="353"/>
      <c r="AB20" s="353"/>
      <c r="AC20" s="353"/>
      <c r="AD20" s="353"/>
    </row>
    <row r="21" spans="1:30">
      <c r="A21" s="397"/>
      <c r="B21" s="149" t="s">
        <v>45</v>
      </c>
      <c r="C21" s="150"/>
      <c r="D21" s="234">
        <v>0</v>
      </c>
      <c r="E21" s="233" t="s">
        <v>260</v>
      </c>
      <c r="F21" s="151">
        <v>1.2E-2</v>
      </c>
      <c r="G21" s="141">
        <f t="shared" si="5"/>
        <v>0</v>
      </c>
      <c r="H21" s="377"/>
      <c r="I21" s="353"/>
      <c r="J21" s="151">
        <v>1.2E-2</v>
      </c>
      <c r="K21" s="141">
        <f t="shared" si="6"/>
        <v>0</v>
      </c>
      <c r="L21" s="353"/>
      <c r="M21" s="151">
        <v>1.2E-2</v>
      </c>
      <c r="N21" s="146">
        <f t="shared" si="4"/>
        <v>0</v>
      </c>
      <c r="O21" s="353"/>
      <c r="P21" s="151">
        <v>1.2E-2</v>
      </c>
      <c r="Q21" s="287">
        <f t="shared" si="1"/>
        <v>0</v>
      </c>
      <c r="R21" s="353"/>
      <c r="S21" s="151">
        <v>1.2E-2</v>
      </c>
      <c r="T21" s="278">
        <f t="shared" si="2"/>
        <v>0</v>
      </c>
      <c r="U21" s="347"/>
      <c r="V21" s="347"/>
      <c r="W21" s="353"/>
      <c r="X21" s="353"/>
      <c r="Y21" s="353"/>
      <c r="Z21" s="353"/>
      <c r="AA21" s="353"/>
      <c r="AB21" s="353"/>
      <c r="AC21" s="353"/>
      <c r="AD21" s="353"/>
    </row>
    <row r="22" spans="1:30" ht="18.5" thickBot="1">
      <c r="A22" s="398"/>
      <c r="B22" s="152" t="s">
        <v>37</v>
      </c>
      <c r="C22" s="153" t="s">
        <v>10</v>
      </c>
      <c r="D22" s="266">
        <v>0</v>
      </c>
      <c r="E22" s="267" t="s">
        <v>262</v>
      </c>
      <c r="F22" s="224">
        <v>0.05</v>
      </c>
      <c r="G22" s="154">
        <f t="shared" si="5"/>
        <v>0</v>
      </c>
      <c r="H22" s="378"/>
      <c r="I22" s="354"/>
      <c r="J22" s="224">
        <v>0.05</v>
      </c>
      <c r="K22" s="141">
        <f t="shared" si="6"/>
        <v>0</v>
      </c>
      <c r="L22" s="354"/>
      <c r="M22" s="224">
        <v>0.05</v>
      </c>
      <c r="N22" s="155">
        <f t="shared" si="4"/>
        <v>0</v>
      </c>
      <c r="O22" s="354"/>
      <c r="P22" s="224">
        <v>0.05</v>
      </c>
      <c r="Q22" s="288">
        <f t="shared" si="1"/>
        <v>0</v>
      </c>
      <c r="R22" s="354"/>
      <c r="S22" s="224">
        <v>0.05</v>
      </c>
      <c r="T22" s="279">
        <f t="shared" si="2"/>
        <v>0</v>
      </c>
      <c r="U22" s="348"/>
      <c r="V22" s="348"/>
      <c r="W22" s="354"/>
      <c r="X22" s="354"/>
      <c r="Y22" s="354"/>
      <c r="Z22" s="354"/>
      <c r="AA22" s="354"/>
      <c r="AB22" s="354"/>
      <c r="AC22" s="354"/>
      <c r="AD22" s="354"/>
    </row>
    <row r="23" spans="1:30" ht="18.75" customHeight="1">
      <c r="A23" s="385" t="s">
        <v>34</v>
      </c>
      <c r="B23" s="157" t="s">
        <v>3</v>
      </c>
      <c r="C23" s="158" t="s">
        <v>4</v>
      </c>
      <c r="D23" s="258">
        <v>5.5</v>
      </c>
      <c r="E23" s="259">
        <v>7.5</v>
      </c>
      <c r="F23" s="225">
        <v>9</v>
      </c>
      <c r="G23" s="159">
        <f t="shared" si="5"/>
        <v>1</v>
      </c>
      <c r="H23" s="388">
        <f>AVERAGE(G23:G36)</f>
        <v>1.7142857142857142</v>
      </c>
      <c r="I23" s="362" t="str">
        <f>IF(H23&lt;=0.01,"Faible",IF(H23&lt;=0.06,"Moyenne","Forte"))</f>
        <v>Forte</v>
      </c>
      <c r="J23" s="159">
        <v>9</v>
      </c>
      <c r="K23" s="141">
        <f t="shared" si="6"/>
        <v>1</v>
      </c>
      <c r="L23" s="362">
        <f>AVERAGE(K23:K36)</f>
        <v>0.21428571428571427</v>
      </c>
      <c r="M23" s="141">
        <v>9</v>
      </c>
      <c r="N23" s="221">
        <f t="shared" si="4"/>
        <v>1</v>
      </c>
      <c r="O23" s="352">
        <f>AVERAGE(N23:N36)</f>
        <v>0.21428571428571427</v>
      </c>
      <c r="P23" s="225">
        <v>9</v>
      </c>
      <c r="Q23" s="287">
        <f t="shared" si="1"/>
        <v>1</v>
      </c>
      <c r="R23" s="352">
        <f>AVERAGE(Q23:Q36)</f>
        <v>0.21428571428571427</v>
      </c>
      <c r="S23" s="225">
        <v>9</v>
      </c>
      <c r="T23" s="277">
        <f t="shared" si="2"/>
        <v>1</v>
      </c>
      <c r="U23" s="346">
        <f>AVERAGE(T23:T36)</f>
        <v>0.21428571428571427</v>
      </c>
      <c r="V23" s="346">
        <f>AVERAGE(U23,R23,O23,L23)</f>
        <v>0.21428571428571427</v>
      </c>
      <c r="W23" s="362" t="str">
        <f>IF(V23&lt;=0.5,"Faible",IF(V23&lt;=1,"Moyenne","Forte"))</f>
        <v>Faible</v>
      </c>
      <c r="X23" s="352" t="str">
        <f>IF(AND(W23="FORTE",I23="FORTE"),"FORTE",
 IF(AND(W23="FORTE",I23="MOYENNE"),"FORTE",
 IF(AND(W23="FORTE",I23="FAIBLE"),"MOYENNE",
 IF(AND(W23="MOYENNE",I23="FORTE"),"FORTE",
 IF(AND(W23="MOYENNE",I23="MOYENNE"),"MOYENNE",
 IF(AND(W23="MOYENNE",I23="FAIBLE"),"FAIBLE",
 IF(AND(W23="FAIBLE",I23="FORTE"),"MOYENNE",
 IF(AND(W23="FAIBLE",I23="MOYENNE"),"FAIBLE",
 IF(AND(W23="FAIBLE",I23="FAIBLE"),"FAIBLE","Erreur")))))))))</f>
        <v>MOYENNE</v>
      </c>
      <c r="Y23" s="352" t="s">
        <v>59</v>
      </c>
      <c r="Z23" s="352">
        <f>IF(Y23="Ponctuelle",0,
IF(Y23="Locale",0.5,
IF(Y23="Régionale",1.25,
IF(Y23="Nationale",2,
""))))</f>
        <v>2</v>
      </c>
      <c r="AA23" s="352" t="str">
        <f>IF(V23&lt;=1,"FAIBLE",IF(V23=2,"MOYENNE","FORTE"))</f>
        <v>FAIBLE</v>
      </c>
      <c r="AB23" s="352" t="str">
        <f>IF(X23="ABSOLUE","Inadmissible",
IF(X23="Forte",
    IF(AA23="Forte",
        IF(OR(Y23="Nationale",Y23="Régionale",Y23="Locale"),"Majeure","Moyenne"),
    IF(AA23="Moyenne",
        IF(OR(Y23="Nationale",Y23="Régionale"),"Majeure","Moyenne"),
    IF(AA23="Faible",
        IF(OR(Y23="Nationale",Y23="Régionale"),"Majeure","Mineure"),
    ""))),
IF(X23="Moyenne",
    IF(AA23="Forte",
        IF(Y23="Nationale","Majeure",
        IF(Y23="Régionale","Moyenne","Moyenne")),
    IF(AA23="Moyenne","Moyenne",
    IF(AA23="Faible",
        IF(OR(Y23="Nationale",Y23="Régionale"),"Moyenne","Mineure"),
    ""))),
IF(X23="Faible",
    IF(AA23="Forte",
        IF(OR(Y23="Nationale",Y23="Régionale"),"Moyenne","Mineure"),
    IF(AA23="Moyenne","Mineure",
    "Mineure")),
IF(X23="Très Faible",
    IF(AA23="Forte","Mineure",
    "Mineure à nulle"))))))</f>
        <v>Moyenne</v>
      </c>
      <c r="AC23" s="352" t="s">
        <v>221</v>
      </c>
      <c r="AD23" s="352" t="str">
        <f>IF(OR(AB23="Mineure",AB23="Mineure à nulle"),"Mineure",
 IF(AB23="Moyenne",
    IF(AC23="Courte","Mineure","Moyenne"),
 IF(AB23="Majeure",
    IF(AC23="Courte","Moyenne","Majeure"),
 "")))</f>
        <v>Moyenne</v>
      </c>
    </row>
    <row r="24" spans="1:30" ht="18.75" customHeight="1">
      <c r="A24" s="386"/>
      <c r="B24" s="160" t="s">
        <v>18</v>
      </c>
      <c r="C24" s="161" t="s">
        <v>19</v>
      </c>
      <c r="D24" s="237">
        <v>9.9999999999999995E-7</v>
      </c>
      <c r="E24" s="236">
        <v>1E-3</v>
      </c>
      <c r="F24" s="225">
        <v>9</v>
      </c>
      <c r="G24" s="184">
        <f t="shared" si="5"/>
        <v>2</v>
      </c>
      <c r="H24" s="389"/>
      <c r="I24" s="363"/>
      <c r="J24" s="146">
        <v>1E-3</v>
      </c>
      <c r="K24" s="141">
        <f t="shared" si="6"/>
        <v>0</v>
      </c>
      <c r="L24" s="363"/>
      <c r="M24" s="141">
        <v>1E-3</v>
      </c>
      <c r="N24" s="146">
        <f t="shared" si="4"/>
        <v>0</v>
      </c>
      <c r="O24" s="353"/>
      <c r="P24" s="226">
        <v>1E-3</v>
      </c>
      <c r="Q24" s="287">
        <f t="shared" si="1"/>
        <v>0</v>
      </c>
      <c r="R24" s="353"/>
      <c r="S24" s="226">
        <v>1E-3</v>
      </c>
      <c r="T24" s="278">
        <f t="shared" si="2"/>
        <v>0</v>
      </c>
      <c r="U24" s="347"/>
      <c r="V24" s="347"/>
      <c r="W24" s="363"/>
      <c r="X24" s="353"/>
      <c r="Y24" s="353"/>
      <c r="Z24" s="353"/>
      <c r="AA24" s="353"/>
      <c r="AB24" s="353"/>
      <c r="AC24" s="353"/>
      <c r="AD24" s="353"/>
    </row>
    <row r="25" spans="1:30">
      <c r="A25" s="386"/>
      <c r="B25" s="160" t="s">
        <v>20</v>
      </c>
      <c r="C25" s="161" t="s">
        <v>21</v>
      </c>
      <c r="D25" s="235">
        <v>2</v>
      </c>
      <c r="E25" s="236">
        <v>10</v>
      </c>
      <c r="F25" s="225">
        <v>9</v>
      </c>
      <c r="G25" s="141">
        <f t="shared" si="5"/>
        <v>0</v>
      </c>
      <c r="H25" s="389"/>
      <c r="I25" s="363"/>
      <c r="J25" s="140">
        <v>2</v>
      </c>
      <c r="K25" s="141">
        <f t="shared" si="6"/>
        <v>0</v>
      </c>
      <c r="L25" s="363"/>
      <c r="M25" s="141">
        <v>2</v>
      </c>
      <c r="N25" s="146">
        <f t="shared" si="4"/>
        <v>0</v>
      </c>
      <c r="O25" s="353"/>
      <c r="P25" s="151">
        <v>2</v>
      </c>
      <c r="Q25" s="287">
        <f t="shared" si="1"/>
        <v>0</v>
      </c>
      <c r="R25" s="353"/>
      <c r="S25" s="151">
        <v>2</v>
      </c>
      <c r="T25" s="278">
        <f t="shared" si="2"/>
        <v>0</v>
      </c>
      <c r="U25" s="347"/>
      <c r="V25" s="347"/>
      <c r="W25" s="363"/>
      <c r="X25" s="353"/>
      <c r="Y25" s="353"/>
      <c r="Z25" s="353"/>
      <c r="AA25" s="353"/>
      <c r="AB25" s="353"/>
      <c r="AC25" s="353"/>
      <c r="AD25" s="353"/>
    </row>
    <row r="26" spans="1:30">
      <c r="A26" s="386"/>
      <c r="B26" s="160" t="s">
        <v>22</v>
      </c>
      <c r="C26" s="161" t="s">
        <v>21</v>
      </c>
      <c r="D26" s="235">
        <v>1</v>
      </c>
      <c r="E26" s="236"/>
      <c r="F26" s="225">
        <v>9</v>
      </c>
      <c r="G26" s="140">
        <f t="shared" si="5"/>
        <v>2</v>
      </c>
      <c r="H26" s="389"/>
      <c r="I26" s="363"/>
      <c r="J26" s="140">
        <v>2</v>
      </c>
      <c r="K26" s="141">
        <f t="shared" si="6"/>
        <v>2</v>
      </c>
      <c r="L26" s="363"/>
      <c r="M26" s="141">
        <v>2</v>
      </c>
      <c r="N26" s="146">
        <f t="shared" si="4"/>
        <v>2</v>
      </c>
      <c r="O26" s="353"/>
      <c r="P26" s="151">
        <v>2</v>
      </c>
      <c r="Q26" s="287">
        <f t="shared" si="1"/>
        <v>2</v>
      </c>
      <c r="R26" s="353"/>
      <c r="S26" s="151">
        <v>2</v>
      </c>
      <c r="T26" s="278">
        <f t="shared" si="2"/>
        <v>2</v>
      </c>
      <c r="U26" s="347"/>
      <c r="V26" s="347"/>
      <c r="W26" s="363"/>
      <c r="X26" s="353"/>
      <c r="Y26" s="353"/>
      <c r="Z26" s="353"/>
      <c r="AA26" s="353"/>
      <c r="AB26" s="353"/>
      <c r="AC26" s="353"/>
      <c r="AD26" s="353"/>
    </row>
    <row r="27" spans="1:30">
      <c r="A27" s="386"/>
      <c r="B27" s="163" t="s">
        <v>38</v>
      </c>
      <c r="C27" s="164"/>
      <c r="D27" s="235">
        <v>50</v>
      </c>
      <c r="E27" s="236">
        <v>300</v>
      </c>
      <c r="F27" s="225">
        <v>390</v>
      </c>
      <c r="G27" s="140">
        <f t="shared" si="5"/>
        <v>2</v>
      </c>
      <c r="H27" s="389"/>
      <c r="I27" s="363"/>
      <c r="J27" s="140">
        <v>300</v>
      </c>
      <c r="K27" s="141">
        <f t="shared" si="6"/>
        <v>0</v>
      </c>
      <c r="L27" s="363"/>
      <c r="M27" s="141">
        <v>300</v>
      </c>
      <c r="N27" s="146">
        <f t="shared" si="4"/>
        <v>0</v>
      </c>
      <c r="O27" s="353"/>
      <c r="P27" s="227">
        <v>300</v>
      </c>
      <c r="Q27" s="287">
        <f t="shared" si="1"/>
        <v>0</v>
      </c>
      <c r="R27" s="353"/>
      <c r="S27" s="227">
        <v>300</v>
      </c>
      <c r="T27" s="278">
        <f t="shared" si="2"/>
        <v>0</v>
      </c>
      <c r="U27" s="347"/>
      <c r="V27" s="347"/>
      <c r="W27" s="363"/>
      <c r="X27" s="353"/>
      <c r="Y27" s="353"/>
      <c r="Z27" s="353"/>
      <c r="AA27" s="353"/>
      <c r="AB27" s="353"/>
      <c r="AC27" s="353"/>
      <c r="AD27" s="353"/>
    </row>
    <row r="28" spans="1:30">
      <c r="A28" s="386"/>
      <c r="B28" s="163" t="s">
        <v>39</v>
      </c>
      <c r="C28" s="164"/>
      <c r="D28" s="235">
        <v>1</v>
      </c>
      <c r="E28" s="236">
        <v>3</v>
      </c>
      <c r="F28" s="225">
        <v>9</v>
      </c>
      <c r="G28" s="140">
        <f t="shared" si="5"/>
        <v>2</v>
      </c>
      <c r="H28" s="389"/>
      <c r="I28" s="363"/>
      <c r="J28" s="140">
        <v>3</v>
      </c>
      <c r="K28" s="141">
        <f t="shared" si="6"/>
        <v>0</v>
      </c>
      <c r="L28" s="363"/>
      <c r="M28" s="141">
        <v>3</v>
      </c>
      <c r="N28" s="146">
        <f t="shared" si="4"/>
        <v>0</v>
      </c>
      <c r="O28" s="353"/>
      <c r="P28" s="228">
        <v>3</v>
      </c>
      <c r="Q28" s="287">
        <f t="shared" si="1"/>
        <v>0</v>
      </c>
      <c r="R28" s="353"/>
      <c r="S28" s="228">
        <v>3</v>
      </c>
      <c r="T28" s="278">
        <f t="shared" si="2"/>
        <v>0</v>
      </c>
      <c r="U28" s="347"/>
      <c r="V28" s="347"/>
      <c r="W28" s="363"/>
      <c r="X28" s="353"/>
      <c r="Y28" s="353"/>
      <c r="Z28" s="353"/>
      <c r="AA28" s="353"/>
      <c r="AB28" s="353"/>
      <c r="AC28" s="353"/>
      <c r="AD28" s="353"/>
    </row>
    <row r="29" spans="1:30">
      <c r="A29" s="386"/>
      <c r="B29" s="163" t="s">
        <v>44</v>
      </c>
      <c r="C29" s="164"/>
      <c r="D29" s="235">
        <v>0.5</v>
      </c>
      <c r="E29" s="236">
        <v>2</v>
      </c>
      <c r="F29" s="225">
        <v>9</v>
      </c>
      <c r="G29" s="140">
        <f t="shared" si="5"/>
        <v>2</v>
      </c>
      <c r="H29" s="389"/>
      <c r="I29" s="363"/>
      <c r="J29" s="140">
        <v>2</v>
      </c>
      <c r="K29" s="141">
        <f t="shared" si="6"/>
        <v>0</v>
      </c>
      <c r="L29" s="363"/>
      <c r="M29" s="141">
        <v>2</v>
      </c>
      <c r="N29" s="146">
        <f t="shared" si="4"/>
        <v>0</v>
      </c>
      <c r="O29" s="353"/>
      <c r="P29" s="228">
        <v>2</v>
      </c>
      <c r="Q29" s="287">
        <f t="shared" si="1"/>
        <v>0</v>
      </c>
      <c r="R29" s="353"/>
      <c r="S29" s="228">
        <v>2</v>
      </c>
      <c r="T29" s="278">
        <f t="shared" si="2"/>
        <v>0</v>
      </c>
      <c r="U29" s="347"/>
      <c r="V29" s="347"/>
      <c r="W29" s="363"/>
      <c r="X29" s="353"/>
      <c r="Y29" s="353"/>
      <c r="Z29" s="353"/>
      <c r="AA29" s="353"/>
      <c r="AB29" s="353"/>
      <c r="AC29" s="353"/>
      <c r="AD29" s="353"/>
    </row>
    <row r="30" spans="1:30">
      <c r="A30" s="386"/>
      <c r="B30" s="163" t="s">
        <v>45</v>
      </c>
      <c r="C30" s="164"/>
      <c r="D30" s="235">
        <v>10</v>
      </c>
      <c r="E30" s="236">
        <v>50</v>
      </c>
      <c r="F30" s="225">
        <v>60</v>
      </c>
      <c r="G30" s="140">
        <f t="shared" si="5"/>
        <v>1</v>
      </c>
      <c r="H30" s="389"/>
      <c r="I30" s="363"/>
      <c r="J30" s="140">
        <v>30</v>
      </c>
      <c r="K30" s="141">
        <f t="shared" si="6"/>
        <v>0</v>
      </c>
      <c r="L30" s="363"/>
      <c r="M30" s="141">
        <v>30</v>
      </c>
      <c r="N30" s="146">
        <f t="shared" si="4"/>
        <v>0</v>
      </c>
      <c r="O30" s="353"/>
      <c r="P30" s="228">
        <v>30</v>
      </c>
      <c r="Q30" s="287">
        <f t="shared" si="1"/>
        <v>0</v>
      </c>
      <c r="R30" s="353"/>
      <c r="S30" s="228">
        <v>30</v>
      </c>
      <c r="T30" s="278">
        <f t="shared" si="2"/>
        <v>0</v>
      </c>
      <c r="U30" s="347"/>
      <c r="V30" s="347"/>
      <c r="W30" s="363"/>
      <c r="X30" s="353"/>
      <c r="Y30" s="353"/>
      <c r="Z30" s="353"/>
      <c r="AA30" s="353"/>
      <c r="AB30" s="353"/>
      <c r="AC30" s="353"/>
      <c r="AD30" s="353"/>
    </row>
    <row r="31" spans="1:30">
      <c r="A31" s="386"/>
      <c r="B31" s="163" t="s">
        <v>40</v>
      </c>
      <c r="C31" s="164"/>
      <c r="D31" s="235">
        <v>50</v>
      </c>
      <c r="E31" s="236">
        <v>200</v>
      </c>
      <c r="F31" s="225">
        <v>500</v>
      </c>
      <c r="G31" s="140">
        <f t="shared" si="5"/>
        <v>2</v>
      </c>
      <c r="H31" s="389"/>
      <c r="I31" s="363"/>
      <c r="J31" s="140">
        <v>200</v>
      </c>
      <c r="K31" s="141">
        <f t="shared" si="6"/>
        <v>0</v>
      </c>
      <c r="L31" s="363"/>
      <c r="M31" s="141">
        <v>200</v>
      </c>
      <c r="N31" s="146">
        <f t="shared" si="4"/>
        <v>0</v>
      </c>
      <c r="O31" s="353"/>
      <c r="P31" s="228">
        <v>200</v>
      </c>
      <c r="Q31" s="192">
        <f t="shared" si="1"/>
        <v>0</v>
      </c>
      <c r="R31" s="353"/>
      <c r="S31" s="228">
        <v>200</v>
      </c>
      <c r="T31" s="278">
        <f t="shared" si="2"/>
        <v>0</v>
      </c>
      <c r="U31" s="347"/>
      <c r="V31" s="347"/>
      <c r="W31" s="363"/>
      <c r="X31" s="353"/>
      <c r="Y31" s="353"/>
      <c r="Z31" s="353"/>
      <c r="AA31" s="353"/>
      <c r="AB31" s="353"/>
      <c r="AC31" s="353"/>
      <c r="AD31" s="353"/>
    </row>
    <row r="32" spans="1:30">
      <c r="A32" s="386"/>
      <c r="B32" s="163" t="s">
        <v>41</v>
      </c>
      <c r="C32" s="164"/>
      <c r="D32" s="235">
        <v>50</v>
      </c>
      <c r="E32" s="236">
        <v>140</v>
      </c>
      <c r="F32" s="225">
        <v>200</v>
      </c>
      <c r="G32" s="140">
        <f t="shared" si="5"/>
        <v>2</v>
      </c>
      <c r="H32" s="389"/>
      <c r="I32" s="363"/>
      <c r="J32" s="140">
        <v>80</v>
      </c>
      <c r="K32" s="141">
        <f t="shared" si="6"/>
        <v>0</v>
      </c>
      <c r="L32" s="363"/>
      <c r="M32" s="141">
        <v>80</v>
      </c>
      <c r="N32" s="146">
        <f t="shared" si="4"/>
        <v>0</v>
      </c>
      <c r="O32" s="353"/>
      <c r="P32" s="228">
        <v>80</v>
      </c>
      <c r="Q32" s="192">
        <f t="shared" si="1"/>
        <v>0</v>
      </c>
      <c r="R32" s="353"/>
      <c r="S32" s="228">
        <v>80</v>
      </c>
      <c r="T32" s="278">
        <f t="shared" si="2"/>
        <v>0</v>
      </c>
      <c r="U32" s="347"/>
      <c r="V32" s="347"/>
      <c r="W32" s="363"/>
      <c r="X32" s="353"/>
      <c r="Y32" s="353"/>
      <c r="Z32" s="353"/>
      <c r="AA32" s="353"/>
      <c r="AB32" s="353"/>
      <c r="AC32" s="353"/>
      <c r="AD32" s="353"/>
    </row>
    <row r="33" spans="1:30" ht="18.75" customHeight="1">
      <c r="A33" s="386"/>
      <c r="B33" s="163" t="s">
        <v>42</v>
      </c>
      <c r="C33" s="164"/>
      <c r="D33" s="235">
        <v>150</v>
      </c>
      <c r="E33" s="236">
        <v>300</v>
      </c>
      <c r="F33" s="225">
        <v>400</v>
      </c>
      <c r="G33" s="140">
        <f t="shared" si="5"/>
        <v>2</v>
      </c>
      <c r="H33" s="389"/>
      <c r="I33" s="363"/>
      <c r="J33" s="140">
        <v>300</v>
      </c>
      <c r="K33" s="141">
        <f t="shared" si="6"/>
        <v>0</v>
      </c>
      <c r="L33" s="363"/>
      <c r="M33" s="141">
        <v>300</v>
      </c>
      <c r="N33" s="146">
        <f t="shared" si="4"/>
        <v>0</v>
      </c>
      <c r="O33" s="353"/>
      <c r="P33" s="228">
        <v>300</v>
      </c>
      <c r="Q33" s="192">
        <f t="shared" si="1"/>
        <v>0</v>
      </c>
      <c r="R33" s="353"/>
      <c r="S33" s="228">
        <v>300</v>
      </c>
      <c r="T33" s="278">
        <f t="shared" si="2"/>
        <v>0</v>
      </c>
      <c r="U33" s="347"/>
      <c r="V33" s="347"/>
      <c r="W33" s="363"/>
      <c r="X33" s="353"/>
      <c r="Y33" s="353"/>
      <c r="Z33" s="353"/>
      <c r="AA33" s="353"/>
      <c r="AB33" s="353"/>
      <c r="AC33" s="353"/>
      <c r="AD33" s="353"/>
    </row>
    <row r="34" spans="1:30">
      <c r="A34" s="386"/>
      <c r="B34" s="163" t="s">
        <v>43</v>
      </c>
      <c r="C34" s="164"/>
      <c r="D34" s="235">
        <v>30</v>
      </c>
      <c r="E34" s="236">
        <v>75</v>
      </c>
      <c r="F34" s="225">
        <v>9</v>
      </c>
      <c r="G34" s="140">
        <f t="shared" si="5"/>
        <v>2</v>
      </c>
      <c r="H34" s="389"/>
      <c r="I34" s="363"/>
      <c r="J34" s="140">
        <v>33</v>
      </c>
      <c r="K34" s="141">
        <f t="shared" si="6"/>
        <v>0</v>
      </c>
      <c r="L34" s="363"/>
      <c r="M34" s="141">
        <v>37.182000000000002</v>
      </c>
      <c r="N34" s="146">
        <f t="shared" si="4"/>
        <v>0</v>
      </c>
      <c r="O34" s="353"/>
      <c r="P34" s="228">
        <v>33</v>
      </c>
      <c r="Q34" s="192">
        <f t="shared" ref="Q34:Q58" si="7">IF(AND(P34&gt;=D34,P34&lt;=E34),0,IF(AND(P34&gt;=D34*0.8,P34&lt;=E34*1.2),1,2))</f>
        <v>0</v>
      </c>
      <c r="R34" s="353"/>
      <c r="S34" s="228">
        <v>33</v>
      </c>
      <c r="T34" s="278">
        <f t="shared" ref="T34:T58" si="8">IF(AND(S34&gt;=D34,S34&lt;=E34),0,IF(AND(S34&gt;=D34*0.8,S34&lt;=E34*1.2),1,2))</f>
        <v>0</v>
      </c>
      <c r="U34" s="347"/>
      <c r="V34" s="347"/>
      <c r="W34" s="363"/>
      <c r="X34" s="353"/>
      <c r="Y34" s="353"/>
      <c r="Z34" s="353"/>
      <c r="AA34" s="353"/>
      <c r="AB34" s="353"/>
      <c r="AC34" s="353"/>
      <c r="AD34" s="353"/>
    </row>
    <row r="35" spans="1:30">
      <c r="A35" s="386"/>
      <c r="B35" s="160" t="s">
        <v>17</v>
      </c>
      <c r="C35" s="161" t="s">
        <v>23</v>
      </c>
      <c r="D35" s="238">
        <v>1000</v>
      </c>
      <c r="E35" s="239">
        <v>5000</v>
      </c>
      <c r="F35" s="225">
        <v>9</v>
      </c>
      <c r="G35" s="140">
        <f t="shared" si="5"/>
        <v>2</v>
      </c>
      <c r="H35" s="389"/>
      <c r="I35" s="363"/>
      <c r="J35" s="140">
        <v>3000</v>
      </c>
      <c r="K35" s="141">
        <f t="shared" si="6"/>
        <v>0</v>
      </c>
      <c r="L35" s="363"/>
      <c r="M35" s="141">
        <v>3000</v>
      </c>
      <c r="N35" s="146">
        <f t="shared" si="4"/>
        <v>0</v>
      </c>
      <c r="O35" s="353"/>
      <c r="P35" s="166">
        <v>3000</v>
      </c>
      <c r="Q35" s="192">
        <f t="shared" si="7"/>
        <v>0</v>
      </c>
      <c r="R35" s="353"/>
      <c r="S35" s="166">
        <v>3000</v>
      </c>
      <c r="T35" s="278">
        <f t="shared" si="8"/>
        <v>0</v>
      </c>
      <c r="U35" s="347"/>
      <c r="V35" s="347"/>
      <c r="W35" s="363"/>
      <c r="X35" s="353"/>
      <c r="Y35" s="353"/>
      <c r="Z35" s="353"/>
      <c r="AA35" s="353"/>
      <c r="AB35" s="353"/>
      <c r="AC35" s="353"/>
      <c r="AD35" s="353"/>
    </row>
    <row r="36" spans="1:30" ht="19.5" customHeight="1" thickBot="1">
      <c r="A36" s="387"/>
      <c r="B36" s="167" t="s">
        <v>16</v>
      </c>
      <c r="C36" s="168" t="s">
        <v>23</v>
      </c>
      <c r="D36" s="249">
        <v>200</v>
      </c>
      <c r="E36" s="250">
        <v>3000</v>
      </c>
      <c r="F36" s="225">
        <v>9</v>
      </c>
      <c r="G36" s="169">
        <f t="shared" si="5"/>
        <v>2</v>
      </c>
      <c r="H36" s="390"/>
      <c r="I36" s="364"/>
      <c r="J36" s="154">
        <v>250</v>
      </c>
      <c r="K36" s="141">
        <f t="shared" si="6"/>
        <v>0</v>
      </c>
      <c r="L36" s="364"/>
      <c r="M36" s="154">
        <v>250</v>
      </c>
      <c r="N36" s="155">
        <f t="shared" si="4"/>
        <v>0</v>
      </c>
      <c r="O36" s="354"/>
      <c r="P36" s="224">
        <v>250</v>
      </c>
      <c r="Q36" s="193">
        <f t="shared" si="7"/>
        <v>0</v>
      </c>
      <c r="R36" s="354"/>
      <c r="S36" s="224">
        <v>250</v>
      </c>
      <c r="T36" s="279">
        <f t="shared" si="8"/>
        <v>0</v>
      </c>
      <c r="U36" s="348"/>
      <c r="V36" s="348"/>
      <c r="W36" s="364"/>
      <c r="X36" s="354"/>
      <c r="Y36" s="354"/>
      <c r="Z36" s="354"/>
      <c r="AA36" s="354"/>
      <c r="AB36" s="354"/>
      <c r="AC36" s="354"/>
      <c r="AD36" s="354"/>
    </row>
    <row r="37" spans="1:30" ht="18.75" customHeight="1">
      <c r="A37" s="394" t="s">
        <v>269</v>
      </c>
      <c r="B37" s="394"/>
      <c r="C37" s="394" t="s">
        <v>268</v>
      </c>
      <c r="D37" s="34">
        <v>0</v>
      </c>
      <c r="E37" s="111">
        <v>55</v>
      </c>
      <c r="F37" s="178">
        <v>20</v>
      </c>
      <c r="G37" s="185">
        <f t="shared" si="5"/>
        <v>0</v>
      </c>
      <c r="H37" s="376">
        <f>AVERAGE(G37:G38)</f>
        <v>0</v>
      </c>
      <c r="I37" s="349" t="str">
        <f>IF(H37&lt;=0.001,"Faible",IF(H37&lt;=1,"Moyenne","Forte"))</f>
        <v>Faible</v>
      </c>
      <c r="J37" s="178">
        <v>22</v>
      </c>
      <c r="K37" s="141">
        <f t="shared" si="6"/>
        <v>0</v>
      </c>
      <c r="L37" s="349">
        <f>AVERAGE(K37:K38)</f>
        <v>0</v>
      </c>
      <c r="M37" s="141">
        <v>20.181999999999999</v>
      </c>
      <c r="N37" s="221">
        <f t="shared" si="4"/>
        <v>0</v>
      </c>
      <c r="O37" s="352">
        <f>AVERAGE(N37:N38)</f>
        <v>0</v>
      </c>
      <c r="P37" s="208"/>
      <c r="Q37" s="192">
        <f t="shared" si="7"/>
        <v>0</v>
      </c>
      <c r="R37" s="352">
        <f>AVERAGE(Q37:Q38)</f>
        <v>0</v>
      </c>
      <c r="S37" s="289">
        <f>AVERAGE(N37:N38)</f>
        <v>0</v>
      </c>
      <c r="T37" s="277">
        <f t="shared" si="8"/>
        <v>0</v>
      </c>
      <c r="U37" s="346">
        <f>AVERAGE(T37:T38)</f>
        <v>0</v>
      </c>
      <c r="V37" s="346">
        <f>AVERAGE(U37,R37,O37,L37)</f>
        <v>0</v>
      </c>
      <c r="W37" s="349" t="str">
        <f>IF(V37&lt;=0.5,"Faible",IF(V37&lt;=1,"Moyenne","Forte"))</f>
        <v>Faible</v>
      </c>
      <c r="X37" s="352" t="str">
        <f>IF(AND(W37="FORTE",I37="FORTE"),"FORTE",
 IF(AND(W37="FORTE",I37="MOYENNE"),"FORTE",
 IF(AND(W37="FORTE",I37="FAIBLE"),"MOYENNE",
 IF(AND(W37="MOYENNE",I37="FORTE"),"FORTE",
 IF(AND(W37="MOYENNE",I37="MOYENNE"),"MOYENNE",
 IF(AND(W37="MOYENNE",I37="FAIBLE"),"FAIBLE",
 IF(AND(W37="FAIBLE",I37="FORTE"),"MOYENNE",
 IF(AND(W37="FAIBLE",I37="MOYENNE"),"FAIBLE",
 IF(AND(W37="FAIBLE",I37="FAIBLE"),"FAIBLE","Erreur")))))))))</f>
        <v>FAIBLE</v>
      </c>
      <c r="Y37" s="352" t="s">
        <v>277</v>
      </c>
      <c r="Z37" s="352">
        <f>IF(Y37="Ponctuelle",0,
IF(Y37="Locale",0.5,
IF(Y37="Régionale",1.25,
IF(Y37="Nationale",2,
""))))</f>
        <v>0</v>
      </c>
      <c r="AA37" s="352" t="str">
        <f>IF(V37&lt;=1,"FAIBLE",IF(V37=2,"MOYENNE","FORTE"))</f>
        <v>FAIBLE</v>
      </c>
      <c r="AB37" s="352" t="str">
        <f>IF(X37="ABSOLUE","Inadmissible",
IF(X37="Forte",
    IF(AA37="Forte",
        IF(OR(Y37="Nationale",Y37="Régionale",Y37="Locale"),"Majeure","Moyenne"),
    IF(AA37="Moyenne",
        IF(OR(Y37="Nationale",Y37="Régionale"),"Majeure","Moyenne"),
    IF(AA37="Faible",
        IF(OR(Y37="Nationale",Y37="Régionale"),"Majeure","Mineure"),
    ""))),
IF(X37="Moyenne",
    IF(AA37="Forte",
        IF(Y37="Nationale","Majeure",
        IF(Y37="Régionale","Moyenne","Moyenne")),
    IF(AA37="Moyenne","Moyenne",
    IF(AA37="Faible",
        IF(OR(Y37="Nationale",Y37="Régionale"),"Moyenne","Mineure"),
    ""))),
IF(X37="Faible",
    IF(AA37="Forte",
        IF(OR(Y37="Nationale",Y37="Régionale"),"Moyenne","Mineure"),
    IF(AA37="Moyenne","Mineure",
    "Mineure")),
IF(X37="Très Faible",
    IF(AA37="Forte","Mineure",
    "Mineure à nulle"))))))</f>
        <v>Mineure</v>
      </c>
      <c r="AC37" s="352" t="s">
        <v>220</v>
      </c>
      <c r="AD37" s="352" t="str">
        <f>IF(OR(AB37="Mineure",AB37="Mineure à nulle"),"Mineure",
 IF(AB37="Moyenne",
    IF(AC37="Courte","Mineure","Moyenne"),
 IF(AB37="Majeure",
    IF(AC37="Courte","Moyenne","Majeure"),
 "")))</f>
        <v>Mineure</v>
      </c>
    </row>
    <row r="38" spans="1:30" ht="18.5" thickBot="1">
      <c r="A38" s="395"/>
      <c r="B38" s="395"/>
      <c r="C38" s="395"/>
      <c r="D38" s="262">
        <v>0</v>
      </c>
      <c r="E38" s="263">
        <v>65</v>
      </c>
      <c r="F38" s="264">
        <v>20</v>
      </c>
      <c r="G38" s="265">
        <f t="shared" si="5"/>
        <v>0</v>
      </c>
      <c r="H38" s="378"/>
      <c r="I38" s="351"/>
      <c r="J38" s="264">
        <v>29</v>
      </c>
      <c r="K38" s="141">
        <f t="shared" si="6"/>
        <v>0</v>
      </c>
      <c r="L38" s="351"/>
      <c r="M38" s="169">
        <v>20.818000000000001</v>
      </c>
      <c r="N38" s="155">
        <f t="shared" si="4"/>
        <v>0</v>
      </c>
      <c r="O38" s="354"/>
      <c r="P38" s="222"/>
      <c r="Q38" s="193">
        <f t="shared" si="7"/>
        <v>0</v>
      </c>
      <c r="R38" s="354"/>
      <c r="S38" s="191"/>
      <c r="T38" s="279">
        <f t="shared" si="8"/>
        <v>0</v>
      </c>
      <c r="U38" s="348"/>
      <c r="V38" s="348"/>
      <c r="W38" s="351"/>
      <c r="X38" s="354"/>
      <c r="Y38" s="354"/>
      <c r="Z38" s="354"/>
      <c r="AA38" s="354"/>
      <c r="AB38" s="354"/>
      <c r="AC38" s="354"/>
      <c r="AD38" s="354"/>
    </row>
    <row r="39" spans="1:30" ht="18.5" thickBot="1">
      <c r="A39" s="247" t="s">
        <v>270</v>
      </c>
      <c r="B39" s="247" t="s">
        <v>271</v>
      </c>
      <c r="C39" s="247"/>
      <c r="D39" s="252" t="s">
        <v>272</v>
      </c>
      <c r="E39" s="247" t="s">
        <v>273</v>
      </c>
      <c r="F39" s="253" t="s">
        <v>273</v>
      </c>
      <c r="G39" s="185">
        <f>IF(F39=D39,0,IF(F39=E39,2))</f>
        <v>2</v>
      </c>
      <c r="H39" s="246">
        <f>G39</f>
        <v>2</v>
      </c>
      <c r="I39" s="187" t="str">
        <f>IF(H39&lt;=0.5,"Faible",IF(H39&lt;=1,"Moyenne","Forte"))</f>
        <v>Forte</v>
      </c>
      <c r="J39" s="257"/>
      <c r="K39" s="141"/>
      <c r="L39" s="255"/>
      <c r="M39" s="268"/>
      <c r="N39" s="269"/>
      <c r="O39" s="282"/>
      <c r="P39" s="282"/>
      <c r="Q39" s="256" t="e">
        <f t="shared" si="7"/>
        <v>#VALUE!</v>
      </c>
      <c r="R39" s="256"/>
      <c r="S39" s="254"/>
      <c r="T39" s="254" t="e">
        <f t="shared" si="8"/>
        <v>#VALUE!</v>
      </c>
      <c r="U39" s="254"/>
      <c r="V39" s="254"/>
      <c r="W39" s="255"/>
      <c r="X39" s="256"/>
      <c r="Y39" s="256"/>
      <c r="Z39" s="256"/>
      <c r="AA39" s="256"/>
      <c r="AB39" s="256"/>
      <c r="AC39" s="256"/>
      <c r="AD39" s="208" t="str">
        <f>IF(G39=0, "Impact positif", "Mineure")</f>
        <v>Mineure</v>
      </c>
    </row>
    <row r="40" spans="1:30">
      <c r="A40" s="391" t="s">
        <v>35</v>
      </c>
      <c r="B40" s="170" t="s">
        <v>24</v>
      </c>
      <c r="C40" s="171" t="s">
        <v>25</v>
      </c>
      <c r="D40" s="251">
        <v>0</v>
      </c>
      <c r="E40" s="251">
        <v>0.23</v>
      </c>
      <c r="F40" s="229">
        <v>0.1</v>
      </c>
      <c r="G40" s="172">
        <f t="shared" ref="G40:G55" si="9">IF(AND(F40&gt;=D40,F40&lt;=E40),0,IF(AND(F40&gt;=D40*0.8,F40&lt;=E40*1.2),1,2))</f>
        <v>0</v>
      </c>
      <c r="H40" s="376">
        <f>AVERAGE(G40:G46)</f>
        <v>0</v>
      </c>
      <c r="I40" s="352" t="str">
        <f>IF(H40&lt;=0.5,"Faible",IF(H40&lt;=1,"Moyenne","Forte"))</f>
        <v>Faible</v>
      </c>
      <c r="J40" s="229">
        <v>0.1</v>
      </c>
      <c r="K40" s="141">
        <f t="shared" si="6"/>
        <v>0</v>
      </c>
      <c r="L40" s="353">
        <f>AVERAGE(K40:K46)</f>
        <v>0</v>
      </c>
      <c r="M40" s="229">
        <v>0.1</v>
      </c>
      <c r="N40" s="221">
        <f t="shared" ref="N40:N56" si="10">IF(AND(M40&gt;=D40,M40&lt;=E40),0,IF(AND(M40&gt;=D40*0.8,M40&lt;=E40*1.2),1,2))</f>
        <v>0</v>
      </c>
      <c r="O40" s="353">
        <f>AVERAGE(N40:N46)</f>
        <v>0</v>
      </c>
      <c r="P40" s="229">
        <v>0.1</v>
      </c>
      <c r="Q40" s="192">
        <f t="shared" si="7"/>
        <v>0</v>
      </c>
      <c r="R40" s="353">
        <f>AVERAGE(Q40:Q46)</f>
        <v>0</v>
      </c>
      <c r="S40" s="229">
        <v>0.1</v>
      </c>
      <c r="T40" s="137">
        <f t="shared" si="8"/>
        <v>0</v>
      </c>
      <c r="U40" s="346">
        <f>AVERAGE(T40:T46)</f>
        <v>0</v>
      </c>
      <c r="V40" s="346">
        <f>AVERAGE(U40,R40,O40,L40)</f>
        <v>0</v>
      </c>
      <c r="W40" s="352" t="str">
        <f>IF(V40&lt;=0.5,"Faible",IF(V40&lt;=1,"Moyenne","Forte"))</f>
        <v>Faible</v>
      </c>
      <c r="X40" s="352" t="str">
        <f>IF(AND(W40="FORTE",I40="FORTE"),"FORTE",
 IF(AND(W40="FORTE",I40="MOYENNE"),"FORTE",
 IF(AND(W40="FORTE",I40="FAIBLE"),"MOYENNE",
 IF(AND(W40="MOYENNE",I40="FORTE"),"FORTE",
 IF(AND(W40="MOYENNE",I40="MOYENNE"),"MOYENNE",
 IF(AND(W40="MOYENNE",I40="FAIBLE"),"FAIBLE",
 IF(AND(W40="FAIBLE",I40="FORTE"),"MOYENNE",
 IF(AND(W40="FAIBLE",I40="MOYENNE"),"FAIBLE",
 IF(AND(W40="FAIBLE",I40="FAIBLE"),"FAIBLE","Erreur")))))))))</f>
        <v>FAIBLE</v>
      </c>
      <c r="Y40" s="352" t="s">
        <v>277</v>
      </c>
      <c r="Z40" s="352">
        <f>IF(Y40="Ponctuelle",0,
IF(Y40="Locale",0.5,
IF(Y40="Régionale",1.25,
IF(Y40="Nationale",2,
""))))</f>
        <v>0</v>
      </c>
      <c r="AA40" s="381" t="str">
        <f>IF(V40&lt;=1,"FAIBLE",IF(V40=2,"MOYENNE","FORTE"))</f>
        <v>FAIBLE</v>
      </c>
      <c r="AB40" s="352" t="str">
        <f>IF(X40="ABSOLUE","Inadmissible",
IF(X40="Forte",
    IF(AA40="Forte",
        IF(OR(Y40="Nationale",Y40="Régionale",Y40="Locale"),"Majeure","Moyenne"),
    IF(AA40="Moyenne",
        IF(OR(Y40="Nationale",Y40="Régionale"),"Majeure","Moyenne"),
    IF(AA40="Faible",
        IF(OR(Y40="Nationale",Y40="Régionale"),"Majeure","Mineure"),
    ""))),
IF(X40="Moyenne",
    IF(AA40="Forte",
        IF(Y40="Nationale","Majeure",
        IF(Y40="Régionale","Moyenne","Moyenne")),
    IF(AA40="Moyenne","Moyenne",
    IF(AA40="Faible",
        IF(OR(Y40="Nationale",Y40="Régionale"),"Moyenne","Mineure"),
    ""))),
IF(X40="Faible",
    IF(AA40="Forte",
        IF(OR(Y40="Nationale",Y40="Régionale"),"Moyenne","Mineure"),
    IF(AA40="Moyenne","Mineure",
    "Mineure")),
IF(X40="Très Faible",
    IF(AA40="Forte","Mineure",
    "Mineure à nulle"))))))</f>
        <v>Mineure</v>
      </c>
      <c r="AC40" s="352" t="s">
        <v>240</v>
      </c>
      <c r="AD40" s="352" t="str">
        <f>IF(OR(AB40="Mineure",AB40="Mineure à nulle"),"Mineure",
 IF(AB40="Moyenne",
    IF(AC40="Courte","Mineure","Moyenne"),
 IF(AB40="Majeure",
    IF(AC40="Courte","Moyenne","Majeure"),
 "")))</f>
        <v>Mineure</v>
      </c>
    </row>
    <row r="41" spans="1:30">
      <c r="A41" s="392"/>
      <c r="B41" s="174" t="s">
        <v>26</v>
      </c>
      <c r="C41" s="175" t="s">
        <v>27</v>
      </c>
      <c r="D41" s="174">
        <v>0</v>
      </c>
      <c r="E41" s="174">
        <v>50</v>
      </c>
      <c r="F41" s="151">
        <v>2</v>
      </c>
      <c r="G41" s="141">
        <f t="shared" si="9"/>
        <v>0</v>
      </c>
      <c r="H41" s="377"/>
      <c r="I41" s="353"/>
      <c r="J41" s="151">
        <v>2</v>
      </c>
      <c r="K41" s="141">
        <f t="shared" si="6"/>
        <v>0</v>
      </c>
      <c r="L41" s="353"/>
      <c r="M41" s="151">
        <v>2</v>
      </c>
      <c r="N41" s="146">
        <f t="shared" si="10"/>
        <v>0</v>
      </c>
      <c r="O41" s="353"/>
      <c r="P41" s="151">
        <v>2</v>
      </c>
      <c r="Q41" s="192">
        <f t="shared" si="7"/>
        <v>0</v>
      </c>
      <c r="R41" s="353"/>
      <c r="S41" s="151">
        <v>2</v>
      </c>
      <c r="T41" s="137">
        <f t="shared" si="8"/>
        <v>0</v>
      </c>
      <c r="U41" s="347"/>
      <c r="V41" s="347"/>
      <c r="W41" s="353"/>
      <c r="X41" s="353"/>
      <c r="Y41" s="353" t="s">
        <v>59</v>
      </c>
      <c r="Z41" s="353"/>
      <c r="AA41" s="382"/>
      <c r="AB41" s="353"/>
      <c r="AC41" s="353"/>
      <c r="AD41" s="353"/>
    </row>
    <row r="42" spans="1:30">
      <c r="A42" s="392"/>
      <c r="B42" s="174" t="s">
        <v>28</v>
      </c>
      <c r="C42" s="175" t="s">
        <v>27</v>
      </c>
      <c r="D42" s="174">
        <v>0</v>
      </c>
      <c r="E42" s="174">
        <v>25</v>
      </c>
      <c r="F42" s="151">
        <v>12</v>
      </c>
      <c r="G42" s="141">
        <f t="shared" si="9"/>
        <v>0</v>
      </c>
      <c r="H42" s="377"/>
      <c r="I42" s="353"/>
      <c r="J42" s="151">
        <v>12</v>
      </c>
      <c r="K42" s="141">
        <f t="shared" si="6"/>
        <v>0</v>
      </c>
      <c r="L42" s="353"/>
      <c r="M42" s="151">
        <v>12</v>
      </c>
      <c r="N42" s="146">
        <f t="shared" si="10"/>
        <v>0</v>
      </c>
      <c r="O42" s="353"/>
      <c r="P42" s="151">
        <v>12</v>
      </c>
      <c r="Q42" s="192">
        <f t="shared" si="7"/>
        <v>0</v>
      </c>
      <c r="R42" s="353"/>
      <c r="S42" s="151">
        <v>12</v>
      </c>
      <c r="T42" s="137">
        <f t="shared" si="8"/>
        <v>0</v>
      </c>
      <c r="U42" s="347"/>
      <c r="V42" s="347"/>
      <c r="W42" s="353"/>
      <c r="X42" s="353"/>
      <c r="Y42" s="353" t="s">
        <v>59</v>
      </c>
      <c r="Z42" s="353"/>
      <c r="AA42" s="382"/>
      <c r="AB42" s="353"/>
      <c r="AC42" s="353"/>
      <c r="AD42" s="353"/>
    </row>
    <row r="43" spans="1:30">
      <c r="A43" s="392"/>
      <c r="B43" s="174" t="s">
        <v>29</v>
      </c>
      <c r="C43" s="175" t="s">
        <v>27</v>
      </c>
      <c r="D43" s="174">
        <v>0</v>
      </c>
      <c r="E43" s="174">
        <v>120</v>
      </c>
      <c r="F43" s="151">
        <v>20</v>
      </c>
      <c r="G43" s="141">
        <f t="shared" si="9"/>
        <v>0</v>
      </c>
      <c r="H43" s="377"/>
      <c r="I43" s="353"/>
      <c r="J43" s="151">
        <v>20</v>
      </c>
      <c r="K43" s="141">
        <f t="shared" si="6"/>
        <v>0</v>
      </c>
      <c r="L43" s="353"/>
      <c r="M43" s="151">
        <v>20</v>
      </c>
      <c r="N43" s="146">
        <f t="shared" si="10"/>
        <v>0</v>
      </c>
      <c r="O43" s="353"/>
      <c r="P43" s="151">
        <v>20</v>
      </c>
      <c r="Q43" s="192">
        <f t="shared" si="7"/>
        <v>0</v>
      </c>
      <c r="R43" s="353"/>
      <c r="S43" s="151">
        <v>20</v>
      </c>
      <c r="T43" s="137">
        <f t="shared" si="8"/>
        <v>0</v>
      </c>
      <c r="U43" s="347"/>
      <c r="V43" s="347"/>
      <c r="W43" s="353"/>
      <c r="X43" s="353"/>
      <c r="Y43" s="353" t="s">
        <v>59</v>
      </c>
      <c r="Z43" s="353"/>
      <c r="AA43" s="382"/>
      <c r="AB43" s="353"/>
      <c r="AC43" s="353"/>
      <c r="AD43" s="353"/>
    </row>
    <row r="44" spans="1:30">
      <c r="A44" s="392"/>
      <c r="B44" s="174" t="s">
        <v>30</v>
      </c>
      <c r="C44" s="175" t="s">
        <v>27</v>
      </c>
      <c r="D44" s="174">
        <v>0</v>
      </c>
      <c r="E44" s="174">
        <v>200</v>
      </c>
      <c r="F44" s="151">
        <v>90</v>
      </c>
      <c r="G44" s="141">
        <f t="shared" si="9"/>
        <v>0</v>
      </c>
      <c r="H44" s="377"/>
      <c r="I44" s="353"/>
      <c r="J44" s="151">
        <v>90</v>
      </c>
      <c r="K44" s="141">
        <f t="shared" si="6"/>
        <v>0</v>
      </c>
      <c r="L44" s="353"/>
      <c r="M44" s="151">
        <v>90</v>
      </c>
      <c r="N44" s="146">
        <f t="shared" si="10"/>
        <v>0</v>
      </c>
      <c r="O44" s="353"/>
      <c r="P44" s="151">
        <v>90</v>
      </c>
      <c r="Q44" s="192">
        <f t="shared" si="7"/>
        <v>0</v>
      </c>
      <c r="R44" s="353"/>
      <c r="S44" s="151">
        <v>90</v>
      </c>
      <c r="T44" s="137">
        <f t="shared" si="8"/>
        <v>0</v>
      </c>
      <c r="U44" s="347"/>
      <c r="V44" s="347"/>
      <c r="W44" s="353"/>
      <c r="X44" s="353"/>
      <c r="Y44" s="353" t="s">
        <v>59</v>
      </c>
      <c r="Z44" s="353"/>
      <c r="AA44" s="382"/>
      <c r="AB44" s="353"/>
      <c r="AC44" s="353"/>
      <c r="AD44" s="353"/>
    </row>
    <row r="45" spans="1:30">
      <c r="A45" s="392"/>
      <c r="B45" s="174" t="s">
        <v>31</v>
      </c>
      <c r="C45" s="175" t="s">
        <v>27</v>
      </c>
      <c r="D45" s="174">
        <v>0</v>
      </c>
      <c r="E45" s="174">
        <v>10000</v>
      </c>
      <c r="F45" s="151">
        <v>1000</v>
      </c>
      <c r="G45" s="141">
        <f t="shared" si="9"/>
        <v>0</v>
      </c>
      <c r="H45" s="377"/>
      <c r="I45" s="353"/>
      <c r="J45" s="151">
        <v>1000</v>
      </c>
      <c r="K45" s="141">
        <f t="shared" si="6"/>
        <v>0</v>
      </c>
      <c r="L45" s="353"/>
      <c r="M45" s="151">
        <v>1000</v>
      </c>
      <c r="N45" s="146">
        <f t="shared" si="10"/>
        <v>0</v>
      </c>
      <c r="O45" s="353"/>
      <c r="P45" s="151">
        <v>1000</v>
      </c>
      <c r="Q45" s="192">
        <f t="shared" si="7"/>
        <v>0</v>
      </c>
      <c r="R45" s="353"/>
      <c r="S45" s="151">
        <v>1000</v>
      </c>
      <c r="T45" s="137">
        <f t="shared" si="8"/>
        <v>0</v>
      </c>
      <c r="U45" s="347"/>
      <c r="V45" s="347"/>
      <c r="W45" s="353"/>
      <c r="X45" s="353"/>
      <c r="Y45" s="353" t="s">
        <v>59</v>
      </c>
      <c r="Z45" s="353"/>
      <c r="AA45" s="382"/>
      <c r="AB45" s="353"/>
      <c r="AC45" s="353"/>
      <c r="AD45" s="353"/>
    </row>
    <row r="46" spans="1:30" ht="18.75" customHeight="1" thickBot="1">
      <c r="A46" s="393"/>
      <c r="B46" s="260" t="s">
        <v>32</v>
      </c>
      <c r="C46" s="261" t="s">
        <v>27</v>
      </c>
      <c r="D46" s="260">
        <v>0</v>
      </c>
      <c r="E46" s="260">
        <v>120</v>
      </c>
      <c r="F46" s="224">
        <v>120</v>
      </c>
      <c r="G46" s="169">
        <f t="shared" si="9"/>
        <v>0</v>
      </c>
      <c r="H46" s="378"/>
      <c r="I46" s="354"/>
      <c r="J46" s="224">
        <v>120</v>
      </c>
      <c r="K46" s="141">
        <f t="shared" si="6"/>
        <v>0</v>
      </c>
      <c r="L46" s="354"/>
      <c r="M46" s="224">
        <v>120</v>
      </c>
      <c r="N46" s="155">
        <f t="shared" si="10"/>
        <v>0</v>
      </c>
      <c r="O46" s="354"/>
      <c r="P46" s="224">
        <v>120</v>
      </c>
      <c r="Q46" s="193">
        <f t="shared" si="7"/>
        <v>0</v>
      </c>
      <c r="R46" s="354"/>
      <c r="S46" s="224">
        <v>120</v>
      </c>
      <c r="T46" s="137">
        <f t="shared" si="8"/>
        <v>0</v>
      </c>
      <c r="U46" s="348"/>
      <c r="V46" s="348"/>
      <c r="W46" s="354"/>
      <c r="X46" s="354"/>
      <c r="Y46" s="354" t="s">
        <v>59</v>
      </c>
      <c r="Z46" s="354"/>
      <c r="AA46" s="383"/>
      <c r="AB46" s="354"/>
      <c r="AC46" s="354"/>
      <c r="AD46" s="354"/>
    </row>
    <row r="47" spans="1:30">
      <c r="A47" s="379" t="s">
        <v>242</v>
      </c>
      <c r="B47" s="380" t="s">
        <v>254</v>
      </c>
      <c r="C47" s="124" t="s">
        <v>147</v>
      </c>
      <c r="D47" s="230">
        <v>0</v>
      </c>
      <c r="E47" s="231">
        <v>5</v>
      </c>
      <c r="F47" s="248">
        <v>5.0999999999999996</v>
      </c>
      <c r="G47" s="185">
        <f t="shared" si="9"/>
        <v>1</v>
      </c>
      <c r="H47" s="376">
        <f>AVERAGE(G47:G53)</f>
        <v>0.14285714285714285</v>
      </c>
      <c r="I47" s="349" t="str">
        <f>IF(H47&lt;=0.5,"Faible",IF(H47&lt;=1,"Moyenne","Forte"))</f>
        <v>Faible</v>
      </c>
      <c r="J47" s="248">
        <v>3</v>
      </c>
      <c r="K47" s="141">
        <f t="shared" si="6"/>
        <v>0</v>
      </c>
      <c r="L47" s="349">
        <f>AVERAGE(K47:K53)</f>
        <v>0</v>
      </c>
      <c r="M47" s="141">
        <v>4.9089999999999998</v>
      </c>
      <c r="N47" s="146">
        <f t="shared" si="10"/>
        <v>0</v>
      </c>
      <c r="O47" s="352">
        <f>AVERAGE(N47:N53)</f>
        <v>0</v>
      </c>
      <c r="P47" s="141">
        <v>4.9089999999999998</v>
      </c>
      <c r="Q47" s="192">
        <f t="shared" si="7"/>
        <v>0</v>
      </c>
      <c r="R47" s="352">
        <f>AVERAGE(Q47:Q53)</f>
        <v>0</v>
      </c>
      <c r="S47" s="141">
        <v>4.9089999999999998</v>
      </c>
      <c r="T47" s="277">
        <f t="shared" si="8"/>
        <v>0</v>
      </c>
      <c r="U47" s="346">
        <f>AVERAGE(T47:T53)</f>
        <v>0</v>
      </c>
      <c r="V47" s="346">
        <f>AVERAGE(U47,R47,O47,L47)</f>
        <v>0</v>
      </c>
      <c r="W47" s="349" t="str">
        <f>IF(V47&lt;=0.5,"Faible",IF(V47&lt;=1,"Moyenne","Forte"))</f>
        <v>Faible</v>
      </c>
      <c r="X47" s="352" t="str">
        <f>IF(AND(W47="FORTE",I47="FORTE"),"FORTE",
 IF(AND(W47="FORTE",I47="MOYENNE"),"FORTE",
 IF(AND(W47="FORTE",I47="FAIBLE"),"MOYENNE",
 IF(AND(W47="MOYENNE",I47="FORTE"),"FORTE",
 IF(AND(W47="MOYENNE",I47="MOYENNE"),"MOYENNE",
 IF(AND(W47="MOYENNE",I47="FAIBLE"),"FAIBLE",
 IF(AND(W47="FAIBLE",I47="FORTE"),"MOYENNE",
 IF(AND(W47="FAIBLE",I47="MOYENNE"),"FAIBLE",
 IF(AND(W47="FAIBLE",I47="FAIBLE"),"FAIBLE","Erreur")))))))))</f>
        <v>FAIBLE</v>
      </c>
      <c r="Y47" s="352" t="s">
        <v>277</v>
      </c>
      <c r="Z47" s="352">
        <f>IF(Y47="Ponctuelle",0,
IF(Y47="Locale",0.5,
IF(Y47="Régionale",1.25,
IF(Y47="Nationale",2,
""))))</f>
        <v>0</v>
      </c>
      <c r="AA47" s="381" t="str">
        <f>IF(V47&lt;=1,"FAIBLE",IF(V47=2,"MOYENNE","FORTE"))</f>
        <v>FAIBLE</v>
      </c>
      <c r="AB47" s="352" t="str">
        <f>IF(X47="ABSOLUE","Inadmissible",
IF(X47="Forte",
    IF(AA47="Forte",
        IF(OR(Y47="Nationale",Y47="Régionale",Y47="Locale"),"Majeure","Moyenne"),
    IF(AA47="Moyenne",
        IF(OR(Y47="Nationale",Y47="Régionale"),"Majeure","Moyenne"),
    IF(AA47="Faible",
        IF(OR(Y47="Nationale",Y47="Régionale"),"Majeure","Mineure"),
    ""))),
IF(X47="Moyenne",
    IF(AA47="Forte",
        IF(Y47="Nationale","Majeure",
        IF(Y47="Régionale","Moyenne","Moyenne")),
    IF(AA47="Moyenne","Moyenne",
    IF(AA47="Faible",
        IF(OR(Y47="Nationale",Y47="Régionale"),"Moyenne","Mineure"),
    ""))),
IF(X47="Faible",
    IF(AA47="Forte",
        IF(OR(Y47="Nationale",Y47="Régionale"),"Moyenne","Mineure"),
    IF(AA47="Moyenne","Mineure",
    "Mineure")),
IF(X47="Très Faible",
    IF(AA47="Forte","Mineure",
    "Mineure à nulle"))))))</f>
        <v>Mineure</v>
      </c>
      <c r="AC47" s="352" t="s">
        <v>240</v>
      </c>
      <c r="AD47" s="352" t="str">
        <f>IF(OR(AB47="Mineure",AB47="Mineure à nulle"),"Mineure",
 IF(AB47="Moyenne",
    IF(AC47="Courte","Mineure","Moyenne"),
 IF(AB47="Majeure",
    IF(AC47="Courte","Moyenne","Majeure"),
 "")))</f>
        <v>Mineure</v>
      </c>
    </row>
    <row r="48" spans="1:30" ht="18.75" customHeight="1">
      <c r="A48" s="374"/>
      <c r="B48" s="372"/>
      <c r="C48" s="125" t="s">
        <v>148</v>
      </c>
      <c r="D48" s="33">
        <v>0</v>
      </c>
      <c r="E48" s="33">
        <v>200</v>
      </c>
      <c r="F48" s="180">
        <v>200</v>
      </c>
      <c r="G48" s="185">
        <f t="shared" si="9"/>
        <v>0</v>
      </c>
      <c r="H48" s="377"/>
      <c r="I48" s="350"/>
      <c r="J48" s="180">
        <v>200</v>
      </c>
      <c r="K48" s="141">
        <f t="shared" si="6"/>
        <v>0</v>
      </c>
      <c r="L48" s="350"/>
      <c r="M48" s="141">
        <v>200</v>
      </c>
      <c r="N48" s="146">
        <f t="shared" si="10"/>
        <v>0</v>
      </c>
      <c r="O48" s="353"/>
      <c r="P48" s="141">
        <v>200</v>
      </c>
      <c r="Q48" s="192">
        <f t="shared" si="7"/>
        <v>0</v>
      </c>
      <c r="R48" s="353"/>
      <c r="S48" s="141">
        <v>200</v>
      </c>
      <c r="T48" s="278">
        <f t="shared" si="8"/>
        <v>0</v>
      </c>
      <c r="U48" s="347"/>
      <c r="V48" s="347"/>
      <c r="W48" s="350"/>
      <c r="X48" s="353"/>
      <c r="Y48" s="353" t="s">
        <v>59</v>
      </c>
      <c r="Z48" s="353"/>
      <c r="AA48" s="382"/>
      <c r="AB48" s="353"/>
      <c r="AC48" s="353"/>
      <c r="AD48" s="353"/>
    </row>
    <row r="49" spans="1:30">
      <c r="A49" s="374"/>
      <c r="B49" s="371" t="s">
        <v>255</v>
      </c>
      <c r="C49" s="126" t="s">
        <v>147</v>
      </c>
      <c r="D49" s="31">
        <v>0</v>
      </c>
      <c r="E49" s="32">
        <v>5</v>
      </c>
      <c r="F49" s="180">
        <v>5</v>
      </c>
      <c r="G49" s="185">
        <f t="shared" si="9"/>
        <v>0</v>
      </c>
      <c r="H49" s="377"/>
      <c r="I49" s="350"/>
      <c r="J49" s="180">
        <v>5</v>
      </c>
      <c r="K49" s="141">
        <f t="shared" si="6"/>
        <v>0</v>
      </c>
      <c r="L49" s="350"/>
      <c r="M49" s="141">
        <v>5</v>
      </c>
      <c r="N49" s="146">
        <f t="shared" si="10"/>
        <v>0</v>
      </c>
      <c r="O49" s="353"/>
      <c r="P49" s="141">
        <v>5</v>
      </c>
      <c r="Q49" s="192">
        <f t="shared" si="7"/>
        <v>0</v>
      </c>
      <c r="R49" s="353"/>
      <c r="S49" s="141">
        <v>5</v>
      </c>
      <c r="T49" s="278">
        <f t="shared" si="8"/>
        <v>0</v>
      </c>
      <c r="U49" s="347"/>
      <c r="V49" s="347"/>
      <c r="W49" s="350"/>
      <c r="X49" s="353"/>
      <c r="Y49" s="353" t="s">
        <v>59</v>
      </c>
      <c r="Z49" s="353"/>
      <c r="AA49" s="382"/>
      <c r="AB49" s="353"/>
      <c r="AC49" s="353"/>
      <c r="AD49" s="353"/>
    </row>
    <row r="50" spans="1:30" ht="18.75" customHeight="1">
      <c r="A50" s="374"/>
      <c r="B50" s="372"/>
      <c r="C50" s="125" t="s">
        <v>148</v>
      </c>
      <c r="D50" s="33">
        <v>0</v>
      </c>
      <c r="E50" s="33">
        <v>200</v>
      </c>
      <c r="F50" s="180">
        <v>30</v>
      </c>
      <c r="G50" s="185">
        <f t="shared" si="9"/>
        <v>0</v>
      </c>
      <c r="H50" s="377"/>
      <c r="I50" s="350"/>
      <c r="J50" s="180">
        <v>100</v>
      </c>
      <c r="K50" s="141">
        <f t="shared" si="6"/>
        <v>0</v>
      </c>
      <c r="L50" s="350"/>
      <c r="M50" s="141">
        <v>36.363999999999997</v>
      </c>
      <c r="N50" s="146">
        <f t="shared" si="10"/>
        <v>0</v>
      </c>
      <c r="O50" s="353"/>
      <c r="P50" s="141">
        <v>36.363999999999997</v>
      </c>
      <c r="Q50" s="192">
        <f t="shared" si="7"/>
        <v>0</v>
      </c>
      <c r="R50" s="353"/>
      <c r="S50" s="141">
        <v>36.363999999999997</v>
      </c>
      <c r="T50" s="278">
        <f t="shared" si="8"/>
        <v>0</v>
      </c>
      <c r="U50" s="347"/>
      <c r="V50" s="347"/>
      <c r="W50" s="350"/>
      <c r="X50" s="353"/>
      <c r="Y50" s="353" t="s">
        <v>59</v>
      </c>
      <c r="Z50" s="353"/>
      <c r="AA50" s="382"/>
      <c r="AB50" s="353"/>
      <c r="AC50" s="353"/>
      <c r="AD50" s="353"/>
    </row>
    <row r="51" spans="1:30">
      <c r="A51" s="374"/>
      <c r="B51" s="371" t="s">
        <v>256</v>
      </c>
      <c r="C51" s="127" t="s">
        <v>149</v>
      </c>
      <c r="D51" s="31">
        <v>0</v>
      </c>
      <c r="E51" s="32">
        <v>61</v>
      </c>
      <c r="F51" s="180">
        <v>20</v>
      </c>
      <c r="G51" s="185">
        <f t="shared" si="9"/>
        <v>0</v>
      </c>
      <c r="H51" s="377"/>
      <c r="I51" s="350"/>
      <c r="J51" s="180">
        <v>22</v>
      </c>
      <c r="K51" s="141">
        <f t="shared" si="6"/>
        <v>0</v>
      </c>
      <c r="L51" s="350"/>
      <c r="M51" s="141">
        <v>20.181999999999999</v>
      </c>
      <c r="N51" s="146">
        <f t="shared" si="10"/>
        <v>0</v>
      </c>
      <c r="O51" s="353"/>
      <c r="P51" s="141">
        <v>20.181999999999999</v>
      </c>
      <c r="Q51" s="192">
        <f t="shared" si="7"/>
        <v>0</v>
      </c>
      <c r="R51" s="353"/>
      <c r="S51" s="141">
        <v>20.181999999999999</v>
      </c>
      <c r="T51" s="278">
        <f t="shared" si="8"/>
        <v>0</v>
      </c>
      <c r="U51" s="347"/>
      <c r="V51" s="347"/>
      <c r="W51" s="350"/>
      <c r="X51" s="353"/>
      <c r="Y51" s="353" t="s">
        <v>59</v>
      </c>
      <c r="Z51" s="353"/>
      <c r="AA51" s="382"/>
      <c r="AB51" s="353"/>
      <c r="AC51" s="353"/>
      <c r="AD51" s="353"/>
    </row>
    <row r="52" spans="1:30">
      <c r="A52" s="374"/>
      <c r="B52" s="372"/>
      <c r="C52" s="128" t="s">
        <v>150</v>
      </c>
      <c r="D52" s="33">
        <v>0</v>
      </c>
      <c r="E52" s="33">
        <v>10</v>
      </c>
      <c r="F52" s="180">
        <v>10</v>
      </c>
      <c r="G52" s="185">
        <f t="shared" si="9"/>
        <v>0</v>
      </c>
      <c r="H52" s="377"/>
      <c r="I52" s="350"/>
      <c r="J52" s="180">
        <v>3</v>
      </c>
      <c r="K52" s="141">
        <f t="shared" si="6"/>
        <v>0</v>
      </c>
      <c r="L52" s="350"/>
      <c r="M52" s="141">
        <v>9.3640000000000008</v>
      </c>
      <c r="N52" s="146">
        <f t="shared" si="10"/>
        <v>0</v>
      </c>
      <c r="O52" s="353"/>
      <c r="P52" s="141">
        <v>9.3640000000000008</v>
      </c>
      <c r="Q52" s="192">
        <f t="shared" si="7"/>
        <v>0</v>
      </c>
      <c r="R52" s="353"/>
      <c r="S52" s="141">
        <v>9.3640000000000008</v>
      </c>
      <c r="T52" s="278">
        <f t="shared" si="8"/>
        <v>0</v>
      </c>
      <c r="U52" s="347"/>
      <c r="V52" s="347"/>
      <c r="W52" s="350"/>
      <c r="X52" s="353"/>
      <c r="Y52" s="353" t="s">
        <v>59</v>
      </c>
      <c r="Z52" s="353"/>
      <c r="AA52" s="382"/>
      <c r="AB52" s="353"/>
      <c r="AC52" s="353"/>
      <c r="AD52" s="353"/>
    </row>
    <row r="53" spans="1:30" ht="37.5" customHeight="1" thickBot="1">
      <c r="A53" s="375"/>
      <c r="B53" s="106" t="s">
        <v>265</v>
      </c>
      <c r="C53" s="129" t="s">
        <v>266</v>
      </c>
      <c r="D53" s="245">
        <v>0</v>
      </c>
      <c r="E53" s="240">
        <v>5</v>
      </c>
      <c r="F53" s="181">
        <v>0</v>
      </c>
      <c r="G53" s="190">
        <f t="shared" si="9"/>
        <v>0</v>
      </c>
      <c r="H53" s="378"/>
      <c r="I53" s="351"/>
      <c r="J53" s="181">
        <v>4</v>
      </c>
      <c r="K53" s="141">
        <f t="shared" si="6"/>
        <v>0</v>
      </c>
      <c r="L53" s="351"/>
      <c r="M53" s="264">
        <v>0.36399999999999999</v>
      </c>
      <c r="N53" s="176">
        <f t="shared" si="10"/>
        <v>0</v>
      </c>
      <c r="O53" s="354"/>
      <c r="P53" s="264">
        <v>0.36399999999999999</v>
      </c>
      <c r="Q53" s="192">
        <f t="shared" si="7"/>
        <v>0</v>
      </c>
      <c r="R53" s="354"/>
      <c r="S53" s="264">
        <v>0.36399999999999999</v>
      </c>
      <c r="T53" s="279">
        <f t="shared" si="8"/>
        <v>0</v>
      </c>
      <c r="U53" s="348"/>
      <c r="V53" s="348"/>
      <c r="W53" s="351"/>
      <c r="X53" s="354"/>
      <c r="Y53" s="354" t="s">
        <v>59</v>
      </c>
      <c r="Z53" s="354"/>
      <c r="AA53" s="383"/>
      <c r="AB53" s="354"/>
      <c r="AC53" s="354"/>
      <c r="AD53" s="354"/>
    </row>
    <row r="54" spans="1:30">
      <c r="A54" s="373" t="s">
        <v>85</v>
      </c>
      <c r="B54" s="110" t="s">
        <v>146</v>
      </c>
      <c r="C54" s="197" t="s">
        <v>25</v>
      </c>
      <c r="D54" s="243">
        <v>0</v>
      </c>
      <c r="E54" s="244" t="s">
        <v>267</v>
      </c>
      <c r="F54" s="198">
        <v>0.15</v>
      </c>
      <c r="G54" s="199">
        <f t="shared" si="9"/>
        <v>0</v>
      </c>
      <c r="H54" s="376">
        <f>AVERAGE(G54:G56)</f>
        <v>0</v>
      </c>
      <c r="I54" s="349" t="str">
        <f>IF(H54&lt;=0.5,"Faible",IF(H54&lt;=1,"Moyenne","Forte"))</f>
        <v>Faible</v>
      </c>
      <c r="J54" s="198">
        <v>0.16</v>
      </c>
      <c r="K54" s="141">
        <f t="shared" si="6"/>
        <v>0</v>
      </c>
      <c r="L54" s="349">
        <f>AVERAGE(K54:K56)</f>
        <v>0</v>
      </c>
      <c r="M54" s="141">
        <v>0.151</v>
      </c>
      <c r="N54" s="200">
        <f t="shared" si="10"/>
        <v>0</v>
      </c>
      <c r="O54" s="352">
        <f>AVERAGE(N54:N56)</f>
        <v>0</v>
      </c>
      <c r="P54" s="141">
        <v>0.151</v>
      </c>
      <c r="Q54" s="285">
        <f t="shared" si="7"/>
        <v>0</v>
      </c>
      <c r="R54" s="352">
        <f>AVERAGE(Q54:Q56)</f>
        <v>0</v>
      </c>
      <c r="S54" s="141">
        <v>0.151</v>
      </c>
      <c r="T54" s="277">
        <f t="shared" si="8"/>
        <v>0</v>
      </c>
      <c r="U54" s="346">
        <f>AVERAGE(T54:T56)</f>
        <v>0</v>
      </c>
      <c r="V54" s="346">
        <f>AVERAGE(U54,R54,O54,L54)</f>
        <v>0</v>
      </c>
      <c r="W54" s="349" t="str">
        <f>IF(V54&lt;=0.5,"Faible",IF(V54&lt;=1,"Moyenne","Forte"))</f>
        <v>Faible</v>
      </c>
      <c r="X54" s="352" t="str">
        <f>IF(AND(W54="FORTE",I54="FORTE"),"FORTE",
 IF(AND(W54="FORTE",I54="MOYENNE"),"FORTE",
 IF(AND(W54="FORTE",I54="FAIBLE"),"MOYENNE",
 IF(AND(W54="MOYENNE",I54="FORTE"),"FORTE",
 IF(AND(W54="MOYENNE",I54="MOYENNE"),"MOYENNE",
 IF(AND(W54="MOYENNE",I54="FAIBLE"),"FAIBLE",
 IF(AND(W54="FAIBLE",I54="FORTE"),"MOYENNE",
 IF(AND(W54="FAIBLE",I54="MOYENNE"),"FAIBLE",
 IF(AND(W54="FAIBLE",I54="FAIBLE"),"FAIBLE","Erreur")))))))))</f>
        <v>FAIBLE</v>
      </c>
      <c r="Y54" s="352" t="s">
        <v>57</v>
      </c>
      <c r="Z54" s="352">
        <f>IF(Y54="Ponctuelle",0,
IF(Y54="Locale",0.5,
IF(Y54="Régionale",1.25,
IF(Y54="Nationale",2,
""))))</f>
        <v>0.5</v>
      </c>
      <c r="AA54" s="352" t="str">
        <f>IF(V54&lt;=1,"FAIBLE",IF(V54=2,"MOYENNE","FORTE"))</f>
        <v>FAIBLE</v>
      </c>
      <c r="AB54" s="352" t="str">
        <f>IF(X54="ABSOLUE","Inadmissible",
IF(X54="Forte",
    IF(AA54="Forte",
        IF(OR(Y54="Nationale",Y54="Régionale",Y54="Locale"),"Majeure","Moyenne"),
    IF(AA54="Moyenne",
        IF(OR(Y54="Nationale",Y54="Régionale"),"Majeure","Moyenne"),
    IF(AA54="Faible",
        IF(OR(Y54="Nationale",Y54="Régionale"),"Majeure","Mineure"),
    ""))),
IF(X54="Moyenne",
    IF(AA54="Forte",
        IF(Y54="Nationale","Majeure",
        IF(Y54="Régionale","Moyenne","Moyenne")),
    IF(AA54="Moyenne","Moyenne",
    IF(AA54="Faible",
        IF(OR(Y54="Nationale",Y54="Régionale"),"Moyenne","Mineure"),
    ""))),
IF(X54="Faible",
    IF(AA54="Forte",
        IF(OR(Y54="Nationale",Y54="Régionale"),"Moyenne","Mineure"),
    IF(AA54="Moyenne","Mineure",
    "Mineure")),
IF(X54="Très Faible",
    IF(AA54="Forte","Mineure",
    "Mineure à nulle"))))))</f>
        <v>Mineure</v>
      </c>
      <c r="AC54" s="352" t="s">
        <v>240</v>
      </c>
      <c r="AD54" s="352" t="str">
        <f>IF(OR(AB54="Mineure",AB54="Mineure à nulle"),"Mineure",
 IF(AB54="Moyenne",
    IF(AC54="Courte","Mineure","Moyenne"),
 IF(AB54="Majeure",
    IF(AC54="Courte","Moyenne","Majeure"),
 "")))</f>
        <v>Mineure</v>
      </c>
    </row>
    <row r="55" spans="1:30" ht="36">
      <c r="A55" s="374"/>
      <c r="B55" s="106" t="s">
        <v>145</v>
      </c>
      <c r="C55" s="129" t="s">
        <v>151</v>
      </c>
      <c r="D55" s="241">
        <v>0</v>
      </c>
      <c r="E55" s="242">
        <v>2</v>
      </c>
      <c r="F55" s="181">
        <v>1</v>
      </c>
      <c r="G55" s="181">
        <f t="shared" si="9"/>
        <v>0</v>
      </c>
      <c r="H55" s="377"/>
      <c r="I55" s="350"/>
      <c r="J55" s="181">
        <v>1</v>
      </c>
      <c r="K55" s="141">
        <f t="shared" si="6"/>
        <v>0</v>
      </c>
      <c r="L55" s="350"/>
      <c r="M55" s="177">
        <v>1</v>
      </c>
      <c r="N55" s="176">
        <f t="shared" si="10"/>
        <v>0</v>
      </c>
      <c r="O55" s="353"/>
      <c r="P55" s="177">
        <v>1</v>
      </c>
      <c r="Q55" s="192">
        <f t="shared" si="7"/>
        <v>0</v>
      </c>
      <c r="R55" s="353"/>
      <c r="S55" s="177">
        <v>1</v>
      </c>
      <c r="T55" s="278">
        <f t="shared" si="8"/>
        <v>0</v>
      </c>
      <c r="U55" s="347"/>
      <c r="V55" s="347"/>
      <c r="W55" s="350"/>
      <c r="X55" s="353"/>
      <c r="Y55" s="353"/>
      <c r="Z55" s="353"/>
      <c r="AA55" s="353"/>
      <c r="AB55" s="353"/>
      <c r="AC55" s="353"/>
      <c r="AD55" s="353"/>
    </row>
    <row r="56" spans="1:30" ht="56.25" customHeight="1" thickBot="1">
      <c r="A56" s="375"/>
      <c r="B56" s="119" t="s">
        <v>226</v>
      </c>
      <c r="C56" s="130" t="s">
        <v>228</v>
      </c>
      <c r="D56" s="245">
        <v>0</v>
      </c>
      <c r="E56" s="240">
        <v>2</v>
      </c>
      <c r="F56" s="154">
        <v>0</v>
      </c>
      <c r="G56" s="154">
        <f>IF(AND(F56&gt;=D56,F56&lt;=E56),0,IF(AND(F56&gt;=D56*0.8,F56&lt;=E56*1.2),1,2))</f>
        <v>0</v>
      </c>
      <c r="H56" s="378"/>
      <c r="I56" s="351"/>
      <c r="J56" s="154">
        <v>2</v>
      </c>
      <c r="K56" s="141">
        <f t="shared" si="6"/>
        <v>0</v>
      </c>
      <c r="L56" s="351"/>
      <c r="M56" s="154">
        <v>0.182</v>
      </c>
      <c r="N56" s="154">
        <f t="shared" si="10"/>
        <v>0</v>
      </c>
      <c r="O56" s="354"/>
      <c r="P56" s="183">
        <v>0.182</v>
      </c>
      <c r="Q56" s="193">
        <f t="shared" si="7"/>
        <v>0</v>
      </c>
      <c r="R56" s="354"/>
      <c r="S56" s="154">
        <v>0.182</v>
      </c>
      <c r="T56" s="279">
        <f t="shared" si="8"/>
        <v>0</v>
      </c>
      <c r="U56" s="348"/>
      <c r="V56" s="348"/>
      <c r="W56" s="351"/>
      <c r="X56" s="354"/>
      <c r="Y56" s="354"/>
      <c r="Z56" s="354"/>
      <c r="AA56" s="354"/>
      <c r="AB56" s="354"/>
      <c r="AC56" s="354"/>
      <c r="AD56" s="354"/>
    </row>
    <row r="57" spans="1:30" ht="54.5" thickBot="1">
      <c r="A57" s="188" t="s">
        <v>207</v>
      </c>
      <c r="B57" s="294" t="s">
        <v>207</v>
      </c>
      <c r="C57" s="295" t="s">
        <v>229</v>
      </c>
      <c r="D57" s="296">
        <v>0</v>
      </c>
      <c r="E57" s="297">
        <v>90</v>
      </c>
      <c r="F57" s="268"/>
      <c r="G57" s="268"/>
      <c r="H57" s="268"/>
      <c r="I57" s="268"/>
      <c r="J57" s="298">
        <v>90</v>
      </c>
      <c r="K57" s="141">
        <f t="shared" si="6"/>
        <v>0</v>
      </c>
      <c r="L57" s="299">
        <f>K57</f>
        <v>0</v>
      </c>
      <c r="M57" s="268">
        <v>8.0909999999999993</v>
      </c>
      <c r="N57" s="298">
        <f>IF(J57&gt;=90, 0, IF(AND(J57&gt;=85, J57&lt;90), 1, 2))</f>
        <v>0</v>
      </c>
      <c r="O57" s="298">
        <f>N57</f>
        <v>0</v>
      </c>
      <c r="P57" s="298"/>
      <c r="Q57" s="300">
        <f t="shared" si="7"/>
        <v>0</v>
      </c>
      <c r="R57" s="300">
        <f>Q57</f>
        <v>0</v>
      </c>
      <c r="S57" s="301"/>
      <c r="T57" s="301">
        <f t="shared" si="8"/>
        <v>0</v>
      </c>
      <c r="U57" s="301">
        <f>T57</f>
        <v>0</v>
      </c>
      <c r="V57" s="301">
        <f>AVERAGE(U57,R57,O57,L57)</f>
        <v>0</v>
      </c>
      <c r="W57" s="302" t="str">
        <f>IF(V57&lt;=0.5,"Faible",IF(V57&lt;=1,"Moyenne","Forte"))</f>
        <v>Faible</v>
      </c>
      <c r="X57" s="300" t="str">
        <f>W57</f>
        <v>Faible</v>
      </c>
      <c r="Y57" s="300" t="s">
        <v>57</v>
      </c>
      <c r="Z57" s="300">
        <f>IF(Y57="Ponctuelle",0,
IF(Y57="Locale",0.5,
IF(Y57="Régionale",1.25,
IF(Y57="Nationale",2,
""))))</f>
        <v>0.5</v>
      </c>
      <c r="AA57" s="300" t="str">
        <f>IF(V57&lt;=1,"FAIBLE",IF(V57=2,"MOYENNE","FORTE"))</f>
        <v>FAIBLE</v>
      </c>
      <c r="AB57" s="300" t="str">
        <f>IF(X57="ABSOLUE","Inadmissible",
IF(X57="Forte",
    IF(AA57="Forte",
        IF(OR(Y57="Nationale",Y57="Régionale",Y57="Locale"),"Majeure","Moyenne"),
    IF(AA57="Moyenne",
        IF(OR(Y57="Nationale",Y57="Régionale"),"Majeure","Moyenne"),
    IF(AA57="Faible",
        IF(OR(Y57="Nationale",Y57="Régionale"),"Majeure","Mineure"),
    ""))),
IF(X57="Moyenne",
    IF(AA57="Forte",
        IF(Y57="Nationale","Majeure",
        IF(Y57="Régionale","Moyenne","Moyenne")),
    IF(AA57="Moyenne","Moyenne",
    IF(AA57="Faible",
        IF(OR(Y57="Nationale",Y57="Régionale"),"Moyenne","Mineure"),
    ""))),
IF(X57="Faible",
    IF(AA57="Forte",
        IF(OR(Y57="Nationale",Y57="Régionale"),"Moyenne","Mineure"),
    IF(AA57="Moyenne","Mineure",
    "Mineure")),
IF(X57="Très Faible",
    IF(AA57="Forte","Mineure",
    "Mineure à nulle"))))))</f>
        <v>Mineure</v>
      </c>
      <c r="AC57" s="300" t="s">
        <v>220</v>
      </c>
      <c r="AD57" s="196" t="str">
        <f>IF(OR(AB57="Mineure",AB57="Mineure à nulle"),"Mineure",
 IF(AB57="Moyenne",
    IF(AC57="Courte","Mineure","Moyenne"),
 IF(AB57="Majeure",
    IF(AC57="Courte","Moyenne","Majeure"),
 "")))</f>
        <v>Mineure</v>
      </c>
    </row>
    <row r="58" spans="1:30" ht="36.5" thickBot="1">
      <c r="A58" s="189" t="s">
        <v>225</v>
      </c>
      <c r="B58" s="201" t="s">
        <v>225</v>
      </c>
      <c r="C58" s="290" t="s">
        <v>227</v>
      </c>
      <c r="D58" s="291">
        <v>0</v>
      </c>
      <c r="E58" s="292">
        <v>5</v>
      </c>
      <c r="F58" s="194"/>
      <c r="G58" s="194"/>
      <c r="H58" s="194"/>
      <c r="I58" s="194"/>
      <c r="J58" s="169">
        <v>8</v>
      </c>
      <c r="K58" s="141">
        <f t="shared" si="6"/>
        <v>2</v>
      </c>
      <c r="L58" s="293">
        <f>K58</f>
        <v>2</v>
      </c>
      <c r="M58" s="169">
        <v>0.72699999999999998</v>
      </c>
      <c r="N58" s="169">
        <f>IF(J58&gt;=5, 0, IF(AND(J58&gt;=4, J58&lt;=4), 1, 2))</f>
        <v>0</v>
      </c>
      <c r="O58" s="303">
        <f>N58</f>
        <v>0</v>
      </c>
      <c r="P58" s="169"/>
      <c r="Q58" s="193">
        <f t="shared" si="7"/>
        <v>0</v>
      </c>
      <c r="R58" s="193">
        <f>Q58</f>
        <v>0</v>
      </c>
      <c r="S58" s="191">
        <f>N58</f>
        <v>0</v>
      </c>
      <c r="T58" s="191">
        <f t="shared" si="8"/>
        <v>0</v>
      </c>
      <c r="U58" s="191">
        <f>T58</f>
        <v>0</v>
      </c>
      <c r="V58" s="301">
        <f>AVERAGE(U58,R58,O58,L58)</f>
        <v>0.5</v>
      </c>
      <c r="W58" s="187" t="str">
        <f>IF(V58&lt;=0.5,"Faible",IF(V58&lt;=1,"Moyenne","Forte"))</f>
        <v>Faible</v>
      </c>
      <c r="X58" s="193" t="str">
        <f>W58</f>
        <v>Faible</v>
      </c>
      <c r="Y58" s="193" t="s">
        <v>277</v>
      </c>
      <c r="Z58" s="193">
        <f>IF(Y58="Ponctuelle",0,
IF(Y58="Locale",0.5,
IF(Y58="Régionale",1.25,
IF(Y58="Nationale",2,
""))))</f>
        <v>0</v>
      </c>
      <c r="AA58" s="193" t="str">
        <f>IF(V58&lt;=1,"FAIBLE",IF(V58=2,"MOYENNE","FORTE"))</f>
        <v>FAIBLE</v>
      </c>
      <c r="AB58" s="193" t="str">
        <f>IF(X58="ABSOLUE","Inadmissible",
IF(X58="Forte",
    IF(AA58="Forte",
        IF(OR(Y58="Nationale",Y58="Régionale",Y58="Locale"),"Majeure","Moyenne"),
    IF(AA58="Moyenne",
        IF(OR(Y58="Nationale",Y58="Régionale"),"Majeure","Moyenne"),
    IF(AA58="Faible",
        IF(OR(Y58="Nationale",Y58="Régionale"),"Majeure","Mineure"),
    ""))),
IF(X58="Moyenne",
    IF(AA58="Forte",
        IF(Y58="Nationale","Majeure",
        IF(Y58="Régionale","Moyenne","Moyenne")),
    IF(AA58="Moyenne","Moyenne",
    IF(AA58="Faible",
        IF(OR(Y58="Nationale",Y58="Régionale"),"Moyenne","Mineure"),
    ""))),
IF(X58="Faible",
    IF(AA58="Forte",
        IF(OR(Y58="Nationale",Y58="Régionale"),"Moyenne","Mineure"),
    IF(AA58="Moyenne","Mineure",
    "Mineure")),
IF(X58="Très Faible",
    IF(AA58="Forte","Mineure",
    "Mineure à nulle"))))))</f>
        <v>Mineure</v>
      </c>
      <c r="AC58" s="193" t="s">
        <v>220</v>
      </c>
      <c r="AD58" s="222" t="str">
        <f>IF(OR(N58=0, N58=1), "Impact positif", "Autre impact")</f>
        <v>Impact positif</v>
      </c>
    </row>
    <row r="60" spans="1:30" ht="31">
      <c r="D60" s="21"/>
      <c r="E60" s="209"/>
      <c r="F60" s="210"/>
      <c r="G60" s="345" t="s">
        <v>91</v>
      </c>
      <c r="H60" s="218" t="s">
        <v>116</v>
      </c>
      <c r="I60" s="345" t="s">
        <v>101</v>
      </c>
      <c r="J60" s="218" t="s">
        <v>47</v>
      </c>
      <c r="K60" s="540" t="s">
        <v>245</v>
      </c>
      <c r="L60" s="219"/>
      <c r="M60" s="219" t="s">
        <v>47</v>
      </c>
      <c r="N60" s="219" t="s">
        <v>246</v>
      </c>
      <c r="O60" s="219"/>
      <c r="P60" s="220" t="s">
        <v>222</v>
      </c>
      <c r="AA60" s="137"/>
    </row>
    <row r="61" spans="1:30" ht="93">
      <c r="D61" s="355" t="s">
        <v>247</v>
      </c>
      <c r="E61" s="356"/>
      <c r="F61" s="211" t="s">
        <v>248</v>
      </c>
      <c r="G61" s="211" t="s">
        <v>114</v>
      </c>
      <c r="H61" s="211">
        <f>IF(G61="Aucune présence",0,IF(G61="Présence potentielle",1,IF(G61="Présence occasionnelle",2,IF(G61="Présence régulière",3,IF(G61="Présence permanente",4,"")))))</f>
        <v>4</v>
      </c>
      <c r="I61" s="211" t="s">
        <v>104</v>
      </c>
      <c r="J61" s="211">
        <f>IF(I61="Aucune protection",0,IF(I61="niveau local ou régional",1,IF(I61="niveau national (loi marocaine par ex.)",2,IF(I61="Espèce inscrite sur la Liste rouge UICN (Préoccupation mineure à vulnérable)",3,IF(I61="Espèce inscrite Liste rouge UICN (En danger / En danger critique)",4,"")))))</f>
        <v>4</v>
      </c>
      <c r="K61" s="211" t="s">
        <v>99</v>
      </c>
      <c r="L61" s="211"/>
      <c r="M61" s="211">
        <f>IF(K61="Aucune espèce protégée",0,IF(K61="Espèce peu menacée ou rare",1,IF(K61="Espèce vulnérable",2,IF(K61="Espèce en danger / endémique",3,IF(K61="Espèce en danger critique",4,IF(K61="Espèce protégée + reproduction",5,""))))))</f>
        <v>5</v>
      </c>
      <c r="N61" s="211">
        <f>M61+J61+H61</f>
        <v>13</v>
      </c>
      <c r="O61" s="211"/>
      <c r="P61" s="212" t="str">
        <f>IF(N61&lt;=6,"Mineure",IF(N61&lt;=12,"Moyenne",IF(N61&lt;=18,"Majeure","Très grave")))</f>
        <v>Majeure</v>
      </c>
      <c r="AA61" s="137"/>
    </row>
    <row r="62" spans="1:30" ht="31">
      <c r="D62" s="357"/>
      <c r="E62" s="358"/>
      <c r="F62" s="211" t="s">
        <v>249</v>
      </c>
      <c r="G62" s="211" t="s">
        <v>112</v>
      </c>
      <c r="H62" s="211">
        <f t="shared" ref="H62:H65" si="11">IF(G62="Aucune présence",0,IF(G62="Présence potentielle",1,IF(G62="Présence occasionnelle",2,IF(G62="Présence régulière",3,IF(G62="Présence permanente",4,"")))))</f>
        <v>3</v>
      </c>
      <c r="I62" s="211" t="s">
        <v>102</v>
      </c>
      <c r="J62" s="211">
        <f>IF(I62="Aucune protection",0,IF(I62="niveau local ou régional",1,IF(I62="niveau national (loi marocaine par ex.)",2,IF(I62="Espèce inscrite sur la Liste rouge UICN (Préoccupation mineure à vulnérable)",3,IF(I62="Espèce inscrite Liste rouge UICN (En danger / En danger critique)",4,"")))))</f>
        <v>0</v>
      </c>
      <c r="K62" s="211" t="s">
        <v>98</v>
      </c>
      <c r="L62" s="211"/>
      <c r="M62" s="211">
        <f>IF(K62="Aucune espèce protégée",0,IF(K62="Espèce peu menacée ou rare",1,IF(K62="Espèce vulnérable",2,IF(K62="Espèce en danger / endémique",3,IF(K62="Espèce en danger critique",4,IF(K62="Espèce protégée + reproduction",5,""))))))</f>
        <v>4</v>
      </c>
      <c r="N62" s="211">
        <f>M62+J62+H62</f>
        <v>7</v>
      </c>
      <c r="O62" s="211"/>
      <c r="P62" s="212" t="str">
        <f>IF(N62&lt;=6,"Mineure",IF(N62&lt;=12,"Moyenne",IF(N62&lt;=18,"Majeure","Très grave")))</f>
        <v>Moyenne</v>
      </c>
      <c r="AA62" s="137"/>
    </row>
    <row r="63" spans="1:30" ht="93">
      <c r="D63" s="365" t="s">
        <v>250</v>
      </c>
      <c r="E63" s="366"/>
      <c r="F63" s="213" t="s">
        <v>251</v>
      </c>
      <c r="G63" s="214" t="s">
        <v>114</v>
      </c>
      <c r="H63" s="214">
        <f t="shared" si="11"/>
        <v>4</v>
      </c>
      <c r="I63" s="214" t="s">
        <v>104</v>
      </c>
      <c r="J63" s="214">
        <f>IF(I63="Aucune protection",0,IF(I63="niveau local ou régional",1,IF(I63="niveau national (loi marocaine par ex.)",2,IF(I63="Espèce inscrite sur la Liste rouge UICN (Préoccupation mineure à vulnérable)",3,IF(I63="Espèce inscrite Liste rouge UICN (En danger / En danger critique)",4,"")))))</f>
        <v>4</v>
      </c>
      <c r="K63" s="214" t="s">
        <v>99</v>
      </c>
      <c r="L63" s="214"/>
      <c r="M63" s="214">
        <f>IF(K63="Aucune espèce protégée",0,IF(K63="Espèce peu menacée ou rare",1,IF(K63="Espèce vulnérable",2,IF(K63="Espèce en danger / endémique",3,IF(K63="Espèce en danger critique",4,IF(K63="Espèce protégée + reproduction",5,""))))))</f>
        <v>5</v>
      </c>
      <c r="N63" s="215">
        <f>M63+J63+H63</f>
        <v>13</v>
      </c>
      <c r="O63" s="215"/>
      <c r="P63" s="216" t="str">
        <f>IF(N63&lt;=6,"Faible",IF(N63&lt;=12,"Moyenne",IF(N63&lt;=18,"Grave","Très grave")))</f>
        <v>Grave</v>
      </c>
      <c r="Q63" s="359">
        <f>AVERAGE(N63:N65)</f>
        <v>11.333333333333334</v>
      </c>
      <c r="R63" s="280"/>
      <c r="S63" s="359" t="str">
        <f>IF(Q63&lt;=3,"Mineure",IF(Q63&lt;=6,"Moyenne","Majeure"))</f>
        <v>Majeure</v>
      </c>
      <c r="AA63" s="137"/>
    </row>
    <row r="64" spans="1:30" ht="46.5">
      <c r="D64" s="367"/>
      <c r="E64" s="368"/>
      <c r="F64" s="217" t="s">
        <v>252</v>
      </c>
      <c r="G64" s="214" t="s">
        <v>110</v>
      </c>
      <c r="H64" s="214">
        <f t="shared" si="11"/>
        <v>2</v>
      </c>
      <c r="I64" s="214" t="s">
        <v>117</v>
      </c>
      <c r="J64" s="214">
        <f>IF(I64="Aucune protection",0,IF(I64="niveau local ou régional",1,IF(I64="niveau national (loi marocaine par ex.)",2,IF(I64="Espèce inscrite sur la Liste rouge UICN (Préoccupation mineure à vulnérable)",3,IF(I64="Espèce inscrite Liste rouge UICN (En danger / En danger critique)",4,"")))))</f>
        <v>1</v>
      </c>
      <c r="K64" s="214" t="s">
        <v>99</v>
      </c>
      <c r="L64" s="214"/>
      <c r="M64" s="214">
        <f>IF(K64="Aucune espèce protégée",0,IF(K64="Espèce peu menacée ou rare",1,IF(K64="Espèce vulnérable",2,IF(K64="Espèce en danger / endémique",3,IF(K64="Espèce en danger critique",4,IF(K64="Espèce protégée + reproduction",5,""))))))</f>
        <v>5</v>
      </c>
      <c r="N64" s="215">
        <f>M64+J64+H64</f>
        <v>8</v>
      </c>
      <c r="O64" s="215"/>
      <c r="P64" s="216" t="str">
        <f t="shared" ref="P64:P65" si="12">IF(N64&lt;=6,"Faible",IF(N64&lt;=12,"Moyenne",IF(N64&lt;=18,"Grave","Très grave")))</f>
        <v>Moyenne</v>
      </c>
      <c r="Q64" s="353"/>
      <c r="R64" s="208"/>
      <c r="S64" s="353"/>
      <c r="AA64" s="137"/>
    </row>
    <row r="65" spans="4:27" ht="93">
      <c r="D65" s="369"/>
      <c r="E65" s="370"/>
      <c r="F65" s="214" t="s">
        <v>253</v>
      </c>
      <c r="G65" s="214" t="s">
        <v>114</v>
      </c>
      <c r="H65" s="214">
        <f t="shared" si="11"/>
        <v>4</v>
      </c>
      <c r="I65" s="214" t="s">
        <v>104</v>
      </c>
      <c r="J65" s="214">
        <f>IF(I65="Aucune protection",0,IF(I65="niveau local ou régional",1,IF(I65="niveau national (loi marocaine par ex.)",2,IF(I65="Espèce inscrite sur la Liste rouge UICN (Préoccupation mineure à vulnérable)",3,IF(I65="Espèce inscrite Liste rouge UICN (En danger / En danger critique)",4,"")))))</f>
        <v>4</v>
      </c>
      <c r="K65" s="214" t="s">
        <v>99</v>
      </c>
      <c r="L65" s="214"/>
      <c r="M65" s="214">
        <f>IF(K65="Aucune espèce protégée",0,IF(K65="Espèce peu menacée ou rare",1,IF(K65="Espèce vulnérable",2,IF(K65="Espèce en danger / endémique",3,IF(K65="Espèce en danger critique",4,IF(K65="Espèce protégée + reproduction",5,""))))))</f>
        <v>5</v>
      </c>
      <c r="N65" s="215">
        <f>M65+J65+H65</f>
        <v>13</v>
      </c>
      <c r="O65" s="215"/>
      <c r="P65" s="216" t="str">
        <f t="shared" si="12"/>
        <v>Grave</v>
      </c>
      <c r="Q65" s="360"/>
      <c r="R65" s="221"/>
      <c r="S65" s="360"/>
      <c r="AA65" s="137"/>
    </row>
  </sheetData>
  <mergeCells count="105">
    <mergeCell ref="G1:H1"/>
    <mergeCell ref="AD2:AD22"/>
    <mergeCell ref="X23:X36"/>
    <mergeCell ref="AA2:AA22"/>
    <mergeCell ref="AB2:AB22"/>
    <mergeCell ref="AD23:AD36"/>
    <mergeCell ref="AB40:AB46"/>
    <mergeCell ref="AC40:AC46"/>
    <mergeCell ref="AD40:AD46"/>
    <mergeCell ref="W37:W38"/>
    <mergeCell ref="X37:X38"/>
    <mergeCell ref="Y37:Y38"/>
    <mergeCell ref="Z37:Z38"/>
    <mergeCell ref="X40:X46"/>
    <mergeCell ref="Y40:Y46"/>
    <mergeCell ref="Z40:Z46"/>
    <mergeCell ref="Y23:Y36"/>
    <mergeCell ref="Z2:Z22"/>
    <mergeCell ref="Y2:Y22"/>
    <mergeCell ref="X2:X22"/>
    <mergeCell ref="W2:W22"/>
    <mergeCell ref="Z23:Z36"/>
    <mergeCell ref="AC23:AC36"/>
    <mergeCell ref="AC2:AC22"/>
    <mergeCell ref="U2:U22"/>
    <mergeCell ref="U23:U36"/>
    <mergeCell ref="A23:A36"/>
    <mergeCell ref="AA23:AA36"/>
    <mergeCell ref="AB23:AB36"/>
    <mergeCell ref="H23:H36"/>
    <mergeCell ref="I23:I36"/>
    <mergeCell ref="W23:W36"/>
    <mergeCell ref="A40:A46"/>
    <mergeCell ref="H40:H46"/>
    <mergeCell ref="I40:I46"/>
    <mergeCell ref="W40:W46"/>
    <mergeCell ref="A37:B38"/>
    <mergeCell ref="C37:C38"/>
    <mergeCell ref="H37:H38"/>
    <mergeCell ref="I37:I38"/>
    <mergeCell ref="A2:A22"/>
    <mergeCell ref="H2:H22"/>
    <mergeCell ref="I2:I22"/>
    <mergeCell ref="AA37:AA38"/>
    <mergeCell ref="AB37:AB38"/>
    <mergeCell ref="V2:V22"/>
    <mergeCell ref="V23:V36"/>
    <mergeCell ref="V37:V38"/>
    <mergeCell ref="AC37:AC38"/>
    <mergeCell ref="AD37:AD38"/>
    <mergeCell ref="W47:W53"/>
    <mergeCell ref="X47:X53"/>
    <mergeCell ref="Y47:Y53"/>
    <mergeCell ref="Z47:Z53"/>
    <mergeCell ref="AA47:AA53"/>
    <mergeCell ref="AB47:AB53"/>
    <mergeCell ref="AC47:AC53"/>
    <mergeCell ref="AD47:AD53"/>
    <mergeCell ref="AA40:AA46"/>
    <mergeCell ref="W54:W56"/>
    <mergeCell ref="X54:X56"/>
    <mergeCell ref="Y54:Y56"/>
    <mergeCell ref="Z54:Z56"/>
    <mergeCell ref="U54:U56"/>
    <mergeCell ref="AA54:AA56"/>
    <mergeCell ref="AB54:AB56"/>
    <mergeCell ref="AC54:AC56"/>
    <mergeCell ref="AD54:AD56"/>
    <mergeCell ref="V54:V56"/>
    <mergeCell ref="D63:E65"/>
    <mergeCell ref="R54:R56"/>
    <mergeCell ref="O54:O56"/>
    <mergeCell ref="L54:L56"/>
    <mergeCell ref="B49:B50"/>
    <mergeCell ref="B51:B52"/>
    <mergeCell ref="A54:A56"/>
    <mergeCell ref="H54:H56"/>
    <mergeCell ref="I54:I56"/>
    <mergeCell ref="A47:A53"/>
    <mergeCell ref="B47:B48"/>
    <mergeCell ref="H47:H53"/>
    <mergeCell ref="I47:I53"/>
    <mergeCell ref="Q63:Q65"/>
    <mergeCell ref="S63:S65"/>
    <mergeCell ref="L2:L22"/>
    <mergeCell ref="O2:O22"/>
    <mergeCell ref="L23:L36"/>
    <mergeCell ref="O23:O36"/>
    <mergeCell ref="R2:R22"/>
    <mergeCell ref="R23:R36"/>
    <mergeCell ref="R37:R38"/>
    <mergeCell ref="O37:O38"/>
    <mergeCell ref="L37:L38"/>
    <mergeCell ref="L40:L46"/>
    <mergeCell ref="O40:O46"/>
    <mergeCell ref="R40:R46"/>
    <mergeCell ref="V40:V46"/>
    <mergeCell ref="V47:V53"/>
    <mergeCell ref="L47:L53"/>
    <mergeCell ref="O47:O53"/>
    <mergeCell ref="R47:R53"/>
    <mergeCell ref="U47:U53"/>
    <mergeCell ref="U37:U38"/>
    <mergeCell ref="U40:U46"/>
    <mergeCell ref="D61:E62"/>
  </mergeCells>
  <conditionalFormatting sqref="AD57 AD2 AD40:AD54 AD23:AD37">
    <cfRule type="expression" dxfId="57" priority="11">
      <formula>OR($AD2="Majeure")</formula>
    </cfRule>
    <cfRule type="expression" dxfId="56" priority="12">
      <formula>OR($AD2="Moyenne")</formula>
    </cfRule>
    <cfRule type="expression" dxfId="55" priority="13">
      <formula>OR($AD2="Mineure")</formula>
    </cfRule>
  </conditionalFormatting>
  <conditionalFormatting sqref="AD54 AD57 AD37">
    <cfRule type="expression" dxfId="54" priority="10">
      <formula>OR($AD37="Mineure")</formula>
    </cfRule>
  </conditionalFormatting>
  <conditionalFormatting sqref="AD58">
    <cfRule type="expression" dxfId="53" priority="9">
      <formula>OR($AD58="Impact positif")</formula>
    </cfRule>
  </conditionalFormatting>
  <conditionalFormatting sqref="S63:S65">
    <cfRule type="expression" dxfId="52" priority="4">
      <formula>OR($S63="Majeure")</formula>
    </cfRule>
    <cfRule type="expression" dxfId="51" priority="5">
      <formula>OR($S63="Moyenne")</formula>
    </cfRule>
    <cfRule type="expression" dxfId="50" priority="6">
      <formula>OR($S63="Mineure")</formula>
    </cfRule>
  </conditionalFormatting>
  <conditionalFormatting sqref="P61:P62">
    <cfRule type="expression" dxfId="49" priority="1">
      <formula>OR($P61="Moyenne")</formula>
    </cfRule>
    <cfRule type="expression" dxfId="48" priority="2">
      <formula>OR($P61="Mineure")</formula>
    </cfRule>
    <cfRule type="expression" dxfId="47" priority="3">
      <formula>OR($P61="Majeure")</formula>
    </cfRule>
  </conditionalFormatting>
  <conditionalFormatting sqref="AD39">
    <cfRule type="expression" dxfId="46" priority="182">
      <formula>OR($AD39="Mineure")</formula>
    </cfRule>
    <cfRule type="expression" dxfId="45" priority="183">
      <formula>OR($AD39="Impact positif")</formula>
    </cfRule>
  </conditionalFormatting>
  <dataValidations count="6">
    <dataValidation type="list" allowBlank="1" showInputMessage="1" showErrorMessage="1" sqref="AC2" xr:uid="{00000000-0002-0000-0000-000000000000}">
      <formula1>"Courte,Moyenne,Longue"</formula1>
    </dataValidation>
    <dataValidation type="list" allowBlank="1" showInputMessage="1" showErrorMessage="1" sqref="AC57:AC58 AC23:AC37 AC40:AC54" xr:uid="{00000000-0002-0000-0000-000001000000}">
      <formula1>"courte,moyenne,longue"</formula1>
    </dataValidation>
    <dataValidation type="list" allowBlank="1" showInputMessage="1" showErrorMessage="1" sqref="Y57:Y58 Y40:Y54 Y2 Y23:Y37" xr:uid="{00000000-0002-0000-0000-000002000000}">
      <formula1>"Ponctuelle,Locale,Régionale,Nationale"</formula1>
    </dataValidation>
    <dataValidation type="list" allowBlank="1" showInputMessage="1" showErrorMessage="1" sqref="G61:G65" xr:uid="{00000000-0002-0000-0000-000003000000}">
      <formula1>"Aucune présence, Présence potentielle, Présence occasionnelle, Présence régulière, Présence permanente"</formula1>
    </dataValidation>
    <dataValidation type="list" allowBlank="1" showInputMessage="1" showErrorMessage="1" sqref="I61:I65" xr:uid="{00000000-0002-0000-0000-000004000000}">
      <formula1>"Aucune protection, niveau local ou régional, niveau national (loi marocaine par ex.), Espèce inscrite sur la Liste rouge UICN (Préoccupation mineure à vulnérable), Espèce inscrite Liste rouge UICN (En danger / En danger critique)"</formula1>
    </dataValidation>
    <dataValidation type="list" allowBlank="1" showInputMessage="1" showErrorMessage="1" sqref="K61:L65" xr:uid="{00000000-0002-0000-0000-000005000000}">
      <formula1>"Aucune espèce protégée, Espèce peu menacée ou rare, Espèce vulnérable, Espèce en danger / endémique, Espèce en danger critique, Espèce protégée + reproduction"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W65"/>
  <sheetViews>
    <sheetView zoomScale="40" zoomScaleNormal="40" workbookViewId="0">
      <pane ySplit="1" topLeftCell="A54" activePane="bottomLeft" state="frozen"/>
      <selection pane="bottomLeft" activeCell="K60" sqref="K60"/>
    </sheetView>
  </sheetViews>
  <sheetFormatPr defaultColWidth="11.453125" defaultRowHeight="18"/>
  <cols>
    <col min="1" max="1" width="38.81640625" style="137" customWidth="1"/>
    <col min="2" max="2" width="29.54296875" style="137" customWidth="1"/>
    <col min="3" max="3" width="22.54296875" style="137" customWidth="1"/>
    <col min="4" max="4" width="11.453125" style="137"/>
    <col min="5" max="5" width="17.7265625" style="137" customWidth="1"/>
    <col min="6" max="6" width="17.26953125" style="137" customWidth="1"/>
    <col min="7" max="8" width="11.453125" style="137"/>
    <col min="9" max="9" width="13.7265625" style="137" customWidth="1"/>
    <col min="10" max="10" width="17" style="137" customWidth="1"/>
    <col min="11" max="11" width="20.453125" style="137" customWidth="1"/>
    <col min="12" max="12" width="14.7265625" style="137" bestFit="1" customWidth="1"/>
    <col min="13" max="13" width="14" style="137" customWidth="1"/>
    <col min="14" max="14" width="20.1796875" style="137" customWidth="1"/>
    <col min="15" max="15" width="16.54296875" style="137" customWidth="1"/>
    <col min="16" max="16" width="15.7265625" style="137" customWidth="1"/>
    <col min="17" max="19" width="11.453125" style="137"/>
    <col min="20" max="20" width="13.7265625" style="137" customWidth="1"/>
    <col min="21" max="21" width="17.26953125" style="137" customWidth="1"/>
    <col min="22" max="22" width="18" style="137" customWidth="1"/>
    <col min="23" max="23" width="25.81640625" style="137" customWidth="1"/>
    <col min="24" max="16384" width="11.453125" style="137"/>
  </cols>
  <sheetData>
    <row r="1" spans="1:23" ht="95.25" customHeight="1" thickBot="1">
      <c r="A1" s="271" t="s">
        <v>89</v>
      </c>
      <c r="B1" s="272" t="s">
        <v>0</v>
      </c>
      <c r="C1" s="273" t="s">
        <v>1</v>
      </c>
      <c r="D1" s="136" t="s">
        <v>274</v>
      </c>
      <c r="E1" s="136" t="s">
        <v>275</v>
      </c>
      <c r="F1" s="344" t="s">
        <v>119</v>
      </c>
      <c r="G1" s="402" t="s">
        <v>116</v>
      </c>
      <c r="H1" s="403"/>
      <c r="I1" s="272" t="s">
        <v>152</v>
      </c>
      <c r="J1" s="344" t="s">
        <v>241</v>
      </c>
      <c r="K1" s="274" t="s">
        <v>156</v>
      </c>
      <c r="L1" s="272" t="s">
        <v>116</v>
      </c>
      <c r="M1" s="275" t="s">
        <v>125</v>
      </c>
      <c r="N1" s="275" t="s">
        <v>155</v>
      </c>
      <c r="O1" s="275" t="s">
        <v>153</v>
      </c>
      <c r="P1" s="344" t="s">
        <v>63</v>
      </c>
      <c r="Q1" s="276" t="s">
        <v>213</v>
      </c>
      <c r="R1" s="404" t="s">
        <v>157</v>
      </c>
      <c r="S1" s="405"/>
      <c r="T1" s="272" t="s">
        <v>154</v>
      </c>
      <c r="U1" s="272" t="s">
        <v>222</v>
      </c>
      <c r="V1" s="344" t="s">
        <v>52</v>
      </c>
      <c r="W1" s="272" t="s">
        <v>224</v>
      </c>
    </row>
    <row r="2" spans="1:23" ht="19.5" customHeight="1" thickTop="1">
      <c r="A2" s="396" t="s">
        <v>33</v>
      </c>
      <c r="B2" s="138" t="s">
        <v>223</v>
      </c>
      <c r="C2" s="139" t="s">
        <v>2</v>
      </c>
      <c r="D2" s="232">
        <v>10</v>
      </c>
      <c r="E2" s="233">
        <v>30</v>
      </c>
      <c r="F2" s="151">
        <v>19</v>
      </c>
      <c r="G2" s="140">
        <f t="shared" ref="G2:G38" si="0">IF(AND(F2&gt;=D2,F2&lt;=E2),0,IF(AND(F2&gt;=D2*0.8,F2&lt;=E2*1.2),1,2))</f>
        <v>0</v>
      </c>
      <c r="H2" s="399">
        <f>AVERAGE(G2:G22)</f>
        <v>1.8571428571428572</v>
      </c>
      <c r="I2" s="361" t="str">
        <f>IF(H2&lt;=0.5,"Faible",IF(H2&lt;=1,"Moyenne","Forte"))</f>
        <v>Forte</v>
      </c>
      <c r="J2" s="141">
        <v>40</v>
      </c>
      <c r="K2" s="141">
        <v>20.908999999999999</v>
      </c>
      <c r="L2" s="142">
        <f>IF(AND(K2&gt;=D2,K2&lt;=E2),0,
 IF(AND(K2&gt;=D2*0.8,K2&lt;=E2*1.2),1,
 2))</f>
        <v>0</v>
      </c>
      <c r="M2" s="384">
        <f>AVERAGE(L2:L22)</f>
        <v>1.8571428571428572</v>
      </c>
      <c r="N2" s="361" t="str">
        <f>IF(M2&lt;=0.5,"Faible",IF(M2&lt;=1,"Moyenne","Forte"))</f>
        <v>Forte</v>
      </c>
      <c r="O2" s="361" t="str">
        <f>IF(AND(N2="FORTE",I2="FORTE"),"FORTE",
 IF(AND(N2="FORTE",I2="MOYENNE"),"FORTE",
 IF(AND(N2="FORTE",I2="FAIBLE"),"MOYENNE",
 IF(AND(N2="MOYENNE",I2="FORTE"),"FORTE",
 IF(AND(N2="MOYENNE",I2="MOYENNE"),"MOYENNE",
 IF(AND(N2="MOYENNE",I2="FAIBLE"),"FAIBLE",
 IF(AND(N2="FAIBLE",I2="FORTE"),"MOYENNE",
 IF(AND(N2="FAIBLE",I2="MOYENNE"),"FAIBLE",
 IF(AND(N2="FAIBLE",I2="FAIBLE"),"FAIBLE","Erreur")))))))))</f>
        <v>FORTE</v>
      </c>
      <c r="P2" s="361" t="s">
        <v>58</v>
      </c>
      <c r="Q2" s="361">
        <f>IF(P2="Ponctuelle",0,
IF(P2="Locale",0.5,
IF(P2="Régionale",1.25,
IF(P2="Nationale",2,
""))))</f>
        <v>1.25</v>
      </c>
      <c r="R2" s="143">
        <f t="shared" ref="R2:R38" si="1">IF(AND(J2&gt;=D2,J2&lt;=E2),0,IF(AND(J2&gt;=D2*0.8,J2&lt;=E2*1.2),1,2))</f>
        <v>2</v>
      </c>
      <c r="S2" s="384">
        <f>AVERAGE(R2:R22)</f>
        <v>1.3333333333333333</v>
      </c>
      <c r="T2" s="361" t="str">
        <f>IF(S2&lt;=1,"FAIBLE",IF(S2=2,"MOYENNE","FORTE"))</f>
        <v>FORTE</v>
      </c>
      <c r="U2" s="361" t="str">
        <f>IF(O2="ABSOLUE","Inadmissible",
IF(O2="Forte",
    IF(T2="Forte",
        IF(OR(P2="Nationale",P2="Régionale",P2="Locale"),"Majeure","Moyenne"),
    IF(T2="Moyenne",
        IF(OR(P2="Nationale",P2="Régionale"),"Majeure","Moyenne"),
    IF(T2="Faible",
        IF(OR(P2="Nationale",P2="Régionale"),"Majeure","Mineure"),
    ""))),
IF(O2="Moyenne",
    IF(T2="Forte",
        IF(P2="Nationale","Majeure",
        IF(P2="Régionale","Moyenne","Moyenne")),
    IF(T2="Moyenne","Moyenne",
    IF(T2="Faible",
        IF(OR(P2="Nationale",P2="Régionale"),"Moyenne","Mineure"),
    ""))),
IF(O2="Faible",
    IF(T2="Forte",
        IF(OR(P2="Nationale",P2="Régionale"),"Moyenne","Mineure"),
    IF(T2="Moyenne","Mineure",
    "Mineure")),
IF(O2="Très Faible",
    IF(T2="Forte","Mineure",
    "Mineure à nulle"))))))</f>
        <v>Majeure</v>
      </c>
      <c r="V2" s="359" t="s">
        <v>219</v>
      </c>
      <c r="W2" s="359" t="str">
        <f>IF(OR(U2="Mineure",U2="Mineure à nulle"),"Mineure",
 IF(U2="Moyenne",
    IF(V2="Courte","Mineure","Moyenne"),
 IF(U2="Majeure",
    IF(V2="Courte","Moyenne","Majeure"),
 "")))</f>
        <v>Majeure</v>
      </c>
    </row>
    <row r="3" spans="1:23">
      <c r="A3" s="397"/>
      <c r="B3" s="144" t="s">
        <v>36</v>
      </c>
      <c r="C3" s="145" t="s">
        <v>4</v>
      </c>
      <c r="D3" s="232">
        <v>6.5</v>
      </c>
      <c r="E3" s="233">
        <v>8.5</v>
      </c>
      <c r="F3" s="151">
        <v>19</v>
      </c>
      <c r="G3" s="140">
        <f t="shared" si="0"/>
        <v>2</v>
      </c>
      <c r="H3" s="377"/>
      <c r="I3" s="353"/>
      <c r="J3" s="141">
        <v>9</v>
      </c>
      <c r="K3" s="141">
        <v>18.091000000000001</v>
      </c>
      <c r="L3" s="146">
        <f t="shared" ref="L3:L38" si="2">IF(AND(K3&gt;=D3,K3&lt;=E3),0,IF(AND(K3&gt;=D3*0.8,K3&lt;=E3*1.2),1,2))</f>
        <v>2</v>
      </c>
      <c r="M3" s="347"/>
      <c r="N3" s="353"/>
      <c r="O3" s="353"/>
      <c r="P3" s="353"/>
      <c r="Q3" s="353"/>
      <c r="R3" s="147">
        <f t="shared" si="1"/>
        <v>1</v>
      </c>
      <c r="S3" s="347"/>
      <c r="T3" s="353"/>
      <c r="U3" s="353"/>
      <c r="V3" s="353"/>
      <c r="W3" s="353"/>
    </row>
    <row r="4" spans="1:23">
      <c r="A4" s="397"/>
      <c r="B4" s="144" t="s">
        <v>5</v>
      </c>
      <c r="C4" s="145" t="s">
        <v>6</v>
      </c>
      <c r="D4" s="234">
        <v>0</v>
      </c>
      <c r="E4" s="233">
        <v>5</v>
      </c>
      <c r="F4" s="151">
        <v>19</v>
      </c>
      <c r="G4" s="140">
        <f t="shared" si="0"/>
        <v>2</v>
      </c>
      <c r="H4" s="377"/>
      <c r="I4" s="353"/>
      <c r="J4" s="141">
        <v>7</v>
      </c>
      <c r="K4" s="141">
        <v>17.908999999999999</v>
      </c>
      <c r="L4" s="146">
        <f t="shared" si="2"/>
        <v>2</v>
      </c>
      <c r="M4" s="347"/>
      <c r="N4" s="353"/>
      <c r="O4" s="353"/>
      <c r="P4" s="353"/>
      <c r="Q4" s="353"/>
      <c r="R4" s="147">
        <f t="shared" si="1"/>
        <v>2</v>
      </c>
      <c r="S4" s="347"/>
      <c r="T4" s="353"/>
      <c r="U4" s="353"/>
      <c r="V4" s="353"/>
      <c r="W4" s="353"/>
    </row>
    <row r="5" spans="1:23">
      <c r="A5" s="397"/>
      <c r="B5" s="144" t="s">
        <v>7</v>
      </c>
      <c r="C5" s="145" t="s">
        <v>8</v>
      </c>
      <c r="D5" s="234">
        <v>0</v>
      </c>
      <c r="E5" s="233">
        <v>2000</v>
      </c>
      <c r="F5" s="151">
        <v>2900</v>
      </c>
      <c r="G5" s="140">
        <f t="shared" si="0"/>
        <v>2</v>
      </c>
      <c r="H5" s="377"/>
      <c r="I5" s="353"/>
      <c r="J5" s="141">
        <v>2009</v>
      </c>
      <c r="K5" s="141">
        <v>2819</v>
      </c>
      <c r="L5" s="146">
        <f t="shared" si="2"/>
        <v>2</v>
      </c>
      <c r="M5" s="347"/>
      <c r="N5" s="353"/>
      <c r="O5" s="353"/>
      <c r="P5" s="353"/>
      <c r="Q5" s="353"/>
      <c r="R5" s="147">
        <f t="shared" si="1"/>
        <v>1</v>
      </c>
      <c r="S5" s="347"/>
      <c r="T5" s="353"/>
      <c r="U5" s="353"/>
      <c r="V5" s="353"/>
      <c r="W5" s="353"/>
    </row>
    <row r="6" spans="1:23">
      <c r="A6" s="397"/>
      <c r="B6" s="144" t="s">
        <v>9</v>
      </c>
      <c r="C6" s="145" t="s">
        <v>10</v>
      </c>
      <c r="D6" s="234">
        <v>0</v>
      </c>
      <c r="E6" s="233">
        <v>5</v>
      </c>
      <c r="F6" s="151">
        <v>19</v>
      </c>
      <c r="G6" s="140">
        <f t="shared" si="0"/>
        <v>2</v>
      </c>
      <c r="H6" s="377"/>
      <c r="I6" s="353"/>
      <c r="J6" s="141">
        <v>6</v>
      </c>
      <c r="K6" s="141">
        <v>17.818000000000001</v>
      </c>
      <c r="L6" s="146">
        <f t="shared" si="2"/>
        <v>2</v>
      </c>
      <c r="M6" s="347"/>
      <c r="N6" s="353"/>
      <c r="O6" s="353"/>
      <c r="P6" s="353"/>
      <c r="Q6" s="353"/>
      <c r="R6" s="147">
        <f t="shared" si="1"/>
        <v>1</v>
      </c>
      <c r="S6" s="347"/>
      <c r="T6" s="353"/>
      <c r="U6" s="353"/>
      <c r="V6" s="353"/>
      <c r="W6" s="353"/>
    </row>
    <row r="7" spans="1:23">
      <c r="A7" s="397"/>
      <c r="B7" s="144" t="s">
        <v>11</v>
      </c>
      <c r="C7" s="145" t="s">
        <v>10</v>
      </c>
      <c r="D7" s="234">
        <v>0</v>
      </c>
      <c r="E7" s="233">
        <v>25</v>
      </c>
      <c r="F7" s="151">
        <v>29</v>
      </c>
      <c r="G7" s="141">
        <f t="shared" si="0"/>
        <v>1</v>
      </c>
      <c r="H7" s="377"/>
      <c r="I7" s="353"/>
      <c r="J7" s="141">
        <v>30</v>
      </c>
      <c r="K7" s="141">
        <v>29.091000000000001</v>
      </c>
      <c r="L7" s="146">
        <f t="shared" si="2"/>
        <v>1</v>
      </c>
      <c r="M7" s="347"/>
      <c r="N7" s="353"/>
      <c r="O7" s="353"/>
      <c r="P7" s="353"/>
      <c r="Q7" s="353"/>
      <c r="R7" s="147">
        <f t="shared" si="1"/>
        <v>1</v>
      </c>
      <c r="S7" s="347"/>
      <c r="T7" s="353"/>
      <c r="U7" s="353"/>
      <c r="V7" s="353"/>
      <c r="W7" s="353"/>
    </row>
    <row r="8" spans="1:23">
      <c r="A8" s="397"/>
      <c r="B8" s="144" t="s">
        <v>12</v>
      </c>
      <c r="C8" s="145" t="s">
        <v>10</v>
      </c>
      <c r="D8" s="234">
        <v>0</v>
      </c>
      <c r="E8" s="233">
        <v>5</v>
      </c>
      <c r="F8" s="151">
        <v>19</v>
      </c>
      <c r="G8" s="141">
        <f>IF(AND(F8&gt;=D8,F8&lt;=E8),0,IF(AND(F8&gt;=D8*0.8,F8&lt;=E8*1.2),1,2))</f>
        <v>2</v>
      </c>
      <c r="H8" s="377"/>
      <c r="I8" s="353"/>
      <c r="J8" s="141">
        <v>4</v>
      </c>
      <c r="K8" s="141">
        <v>17.635999999999999</v>
      </c>
      <c r="L8" s="146">
        <f t="shared" si="2"/>
        <v>2</v>
      </c>
      <c r="M8" s="347"/>
      <c r="N8" s="353"/>
      <c r="O8" s="353"/>
      <c r="P8" s="353"/>
      <c r="Q8" s="353"/>
      <c r="R8" s="147">
        <f t="shared" si="1"/>
        <v>0</v>
      </c>
      <c r="S8" s="347"/>
      <c r="T8" s="353"/>
      <c r="U8" s="353"/>
      <c r="V8" s="353"/>
      <c r="W8" s="353"/>
    </row>
    <row r="9" spans="1:23">
      <c r="A9" s="397"/>
      <c r="B9" s="144" t="s">
        <v>13</v>
      </c>
      <c r="C9" s="145" t="s">
        <v>10</v>
      </c>
      <c r="D9" s="234">
        <v>0</v>
      </c>
      <c r="E9" s="233">
        <v>50</v>
      </c>
      <c r="F9" s="151">
        <v>80</v>
      </c>
      <c r="G9" s="141">
        <f t="shared" si="0"/>
        <v>2</v>
      </c>
      <c r="H9" s="377"/>
      <c r="I9" s="353"/>
      <c r="J9" s="141">
        <v>66</v>
      </c>
      <c r="K9" s="141">
        <v>78.727000000000004</v>
      </c>
      <c r="L9" s="146">
        <f t="shared" si="2"/>
        <v>2</v>
      </c>
      <c r="M9" s="347"/>
      <c r="N9" s="353"/>
      <c r="O9" s="353"/>
      <c r="P9" s="353"/>
      <c r="Q9" s="353"/>
      <c r="R9" s="147">
        <f t="shared" si="1"/>
        <v>2</v>
      </c>
      <c r="S9" s="347"/>
      <c r="T9" s="353"/>
      <c r="U9" s="353"/>
      <c r="V9" s="353"/>
      <c r="W9" s="353"/>
    </row>
    <row r="10" spans="1:23">
      <c r="A10" s="397"/>
      <c r="B10" s="144" t="s">
        <v>14</v>
      </c>
      <c r="C10" s="145" t="s">
        <v>10</v>
      </c>
      <c r="D10" s="234">
        <v>0</v>
      </c>
      <c r="E10" s="233">
        <v>0.1</v>
      </c>
      <c r="F10" s="151">
        <v>19</v>
      </c>
      <c r="G10" s="141">
        <f t="shared" si="0"/>
        <v>2</v>
      </c>
      <c r="H10" s="377"/>
      <c r="I10" s="353"/>
      <c r="J10" s="141">
        <v>0.8</v>
      </c>
      <c r="K10" s="141">
        <v>17.344999999999999</v>
      </c>
      <c r="L10" s="146">
        <f t="shared" si="2"/>
        <v>2</v>
      </c>
      <c r="M10" s="347"/>
      <c r="N10" s="353"/>
      <c r="O10" s="353"/>
      <c r="P10" s="353"/>
      <c r="Q10" s="353"/>
      <c r="R10" s="147">
        <f t="shared" si="1"/>
        <v>2</v>
      </c>
      <c r="S10" s="347"/>
      <c r="T10" s="353"/>
      <c r="U10" s="353"/>
      <c r="V10" s="353"/>
      <c r="W10" s="353"/>
    </row>
    <row r="11" spans="1:23">
      <c r="A11" s="397"/>
      <c r="B11" s="144" t="s">
        <v>15</v>
      </c>
      <c r="C11" s="145" t="s">
        <v>10</v>
      </c>
      <c r="D11" s="234">
        <v>0</v>
      </c>
      <c r="E11" s="233">
        <v>0.5</v>
      </c>
      <c r="F11" s="151">
        <v>19</v>
      </c>
      <c r="G11" s="141">
        <f t="shared" si="0"/>
        <v>2</v>
      </c>
      <c r="H11" s="377"/>
      <c r="I11" s="353"/>
      <c r="J11" s="141">
        <v>0.7</v>
      </c>
      <c r="K11" s="141">
        <v>17.335999999999999</v>
      </c>
      <c r="L11" s="146">
        <f t="shared" si="2"/>
        <v>2</v>
      </c>
      <c r="M11" s="347"/>
      <c r="N11" s="353"/>
      <c r="O11" s="353"/>
      <c r="P11" s="353"/>
      <c r="Q11" s="353"/>
      <c r="R11" s="147">
        <f t="shared" si="1"/>
        <v>2</v>
      </c>
      <c r="S11" s="347"/>
      <c r="T11" s="353"/>
      <c r="U11" s="353"/>
      <c r="V11" s="353"/>
      <c r="W11" s="353"/>
    </row>
    <row r="12" spans="1:23">
      <c r="A12" s="397"/>
      <c r="B12" s="144" t="s">
        <v>16</v>
      </c>
      <c r="C12" s="145" t="s">
        <v>10</v>
      </c>
      <c r="D12" s="234">
        <v>0</v>
      </c>
      <c r="E12" s="233">
        <v>5.2999999999999999E-2</v>
      </c>
      <c r="F12" s="151">
        <v>19</v>
      </c>
      <c r="G12" s="141">
        <f t="shared" si="0"/>
        <v>2</v>
      </c>
      <c r="H12" s="377"/>
      <c r="I12" s="353"/>
      <c r="J12" s="141">
        <v>9.9000000000000005E-2</v>
      </c>
      <c r="K12" s="141">
        <v>17.282</v>
      </c>
      <c r="L12" s="146">
        <f t="shared" si="2"/>
        <v>2</v>
      </c>
      <c r="M12" s="347"/>
      <c r="N12" s="353"/>
      <c r="O12" s="353"/>
      <c r="P12" s="353"/>
      <c r="Q12" s="353"/>
      <c r="R12" s="147">
        <f t="shared" si="1"/>
        <v>2</v>
      </c>
      <c r="S12" s="347"/>
      <c r="T12" s="353"/>
      <c r="U12" s="353"/>
      <c r="V12" s="353"/>
      <c r="W12" s="353"/>
    </row>
    <row r="13" spans="1:23">
      <c r="A13" s="397"/>
      <c r="B13" s="144" t="s">
        <v>17</v>
      </c>
      <c r="C13" s="148" t="s">
        <v>10</v>
      </c>
      <c r="D13" s="234">
        <v>0</v>
      </c>
      <c r="E13" s="233">
        <v>0.1</v>
      </c>
      <c r="F13" s="151">
        <v>19</v>
      </c>
      <c r="G13" s="141">
        <f>IF(AND(F13&gt;=D13,F13&lt;=E13),0,IF(AND(F13&gt;=D13*0.8,F13&lt;=E13*1.2),1,2))</f>
        <v>2</v>
      </c>
      <c r="H13" s="377"/>
      <c r="I13" s="353"/>
      <c r="J13" s="141">
        <v>0.9</v>
      </c>
      <c r="K13" s="141">
        <v>17.355</v>
      </c>
      <c r="L13" s="146">
        <f t="shared" si="2"/>
        <v>2</v>
      </c>
      <c r="M13" s="347"/>
      <c r="N13" s="353"/>
      <c r="O13" s="353"/>
      <c r="P13" s="353"/>
      <c r="Q13" s="353"/>
      <c r="R13" s="147">
        <f t="shared" si="1"/>
        <v>2</v>
      </c>
      <c r="S13" s="347"/>
      <c r="T13" s="353"/>
      <c r="U13" s="353"/>
      <c r="V13" s="353"/>
      <c r="W13" s="353"/>
    </row>
    <row r="14" spans="1:23">
      <c r="A14" s="397"/>
      <c r="B14" s="149" t="s">
        <v>38</v>
      </c>
      <c r="C14" s="150"/>
      <c r="D14" s="234">
        <v>0</v>
      </c>
      <c r="E14" s="233">
        <v>0.01</v>
      </c>
      <c r="F14" s="151">
        <v>19</v>
      </c>
      <c r="G14" s="141">
        <f>IF(AND(F14&gt;=D14,F14&lt;=E14),0,IF(AND(F14&gt;=D14*0.8,F14&lt;=E14*1.2),1,2))</f>
        <v>2</v>
      </c>
      <c r="H14" s="377"/>
      <c r="I14" s="353"/>
      <c r="J14" s="141">
        <v>0.04</v>
      </c>
      <c r="K14" s="141">
        <v>17.276</v>
      </c>
      <c r="L14" s="146">
        <f t="shared" si="2"/>
        <v>2</v>
      </c>
      <c r="M14" s="347"/>
      <c r="N14" s="353"/>
      <c r="O14" s="353"/>
      <c r="P14" s="353"/>
      <c r="Q14" s="353"/>
      <c r="R14" s="147">
        <f t="shared" si="1"/>
        <v>2</v>
      </c>
      <c r="S14" s="347"/>
      <c r="T14" s="353"/>
      <c r="U14" s="353"/>
      <c r="V14" s="353"/>
      <c r="W14" s="353"/>
    </row>
    <row r="15" spans="1:23">
      <c r="A15" s="397"/>
      <c r="B15" s="149" t="s">
        <v>39</v>
      </c>
      <c r="C15" s="150"/>
      <c r="D15" s="234">
        <v>0</v>
      </c>
      <c r="E15" s="233">
        <v>3.0000000000000001E-3</v>
      </c>
      <c r="F15" s="151">
        <v>19</v>
      </c>
      <c r="G15" s="141">
        <f t="shared" si="0"/>
        <v>2</v>
      </c>
      <c r="H15" s="377"/>
      <c r="I15" s="353"/>
      <c r="J15" s="141">
        <v>8.9999999999999993E-3</v>
      </c>
      <c r="K15" s="141">
        <v>17.274000000000001</v>
      </c>
      <c r="L15" s="146">
        <f t="shared" si="2"/>
        <v>2</v>
      </c>
      <c r="M15" s="347"/>
      <c r="N15" s="353"/>
      <c r="O15" s="353"/>
      <c r="P15" s="353"/>
      <c r="Q15" s="353"/>
      <c r="R15" s="147">
        <f t="shared" si="1"/>
        <v>2</v>
      </c>
      <c r="S15" s="347"/>
      <c r="T15" s="353"/>
      <c r="U15" s="353"/>
      <c r="V15" s="353"/>
      <c r="W15" s="353"/>
    </row>
    <row r="16" spans="1:23">
      <c r="A16" s="397"/>
      <c r="B16" s="149" t="s">
        <v>40</v>
      </c>
      <c r="C16" s="150"/>
      <c r="D16" s="234">
        <v>0</v>
      </c>
      <c r="E16" s="233">
        <v>0.05</v>
      </c>
      <c r="F16" s="151">
        <v>19</v>
      </c>
      <c r="G16" s="141">
        <f t="shared" si="0"/>
        <v>2</v>
      </c>
      <c r="H16" s="377"/>
      <c r="I16" s="353"/>
      <c r="J16" s="141">
        <v>7.0000000000000001E-3</v>
      </c>
      <c r="K16" s="141">
        <v>17.273</v>
      </c>
      <c r="L16" s="146">
        <f t="shared" si="2"/>
        <v>2</v>
      </c>
      <c r="M16" s="347"/>
      <c r="N16" s="353"/>
      <c r="O16" s="353"/>
      <c r="P16" s="353"/>
      <c r="Q16" s="353"/>
      <c r="R16" s="147">
        <f t="shared" si="1"/>
        <v>0</v>
      </c>
      <c r="S16" s="347"/>
      <c r="T16" s="353"/>
      <c r="U16" s="353"/>
      <c r="V16" s="353"/>
      <c r="W16" s="353"/>
    </row>
    <row r="17" spans="1:23">
      <c r="A17" s="397"/>
      <c r="B17" s="149" t="s">
        <v>41</v>
      </c>
      <c r="C17" s="150"/>
      <c r="D17" s="234">
        <v>0</v>
      </c>
      <c r="E17" s="233">
        <v>2</v>
      </c>
      <c r="F17" s="151">
        <v>19</v>
      </c>
      <c r="G17" s="141">
        <f t="shared" si="0"/>
        <v>2</v>
      </c>
      <c r="H17" s="377"/>
      <c r="I17" s="353"/>
      <c r="J17" s="141">
        <v>3</v>
      </c>
      <c r="K17" s="141">
        <v>17.545000000000002</v>
      </c>
      <c r="L17" s="146">
        <f t="shared" si="2"/>
        <v>2</v>
      </c>
      <c r="M17" s="347"/>
      <c r="N17" s="353"/>
      <c r="O17" s="353"/>
      <c r="P17" s="353"/>
      <c r="Q17" s="353"/>
      <c r="R17" s="147">
        <f t="shared" si="1"/>
        <v>2</v>
      </c>
      <c r="S17" s="347"/>
      <c r="T17" s="353"/>
      <c r="U17" s="353"/>
      <c r="V17" s="353"/>
      <c r="W17" s="353"/>
    </row>
    <row r="18" spans="1:23">
      <c r="A18" s="397"/>
      <c r="B18" s="149" t="s">
        <v>42</v>
      </c>
      <c r="C18" s="150"/>
      <c r="D18" s="234">
        <v>0</v>
      </c>
      <c r="E18" s="233">
        <v>3</v>
      </c>
      <c r="F18" s="151">
        <v>19</v>
      </c>
      <c r="G18" s="141">
        <f t="shared" si="0"/>
        <v>2</v>
      </c>
      <c r="H18" s="377"/>
      <c r="I18" s="353"/>
      <c r="J18" s="141">
        <v>0.08</v>
      </c>
      <c r="K18" s="141">
        <v>17.28</v>
      </c>
      <c r="L18" s="146">
        <f t="shared" si="2"/>
        <v>2</v>
      </c>
      <c r="M18" s="347"/>
      <c r="N18" s="353"/>
      <c r="O18" s="353"/>
      <c r="P18" s="353"/>
      <c r="Q18" s="353"/>
      <c r="R18" s="147">
        <f t="shared" si="1"/>
        <v>0</v>
      </c>
      <c r="S18" s="347"/>
      <c r="T18" s="353"/>
      <c r="U18" s="353"/>
      <c r="V18" s="353"/>
      <c r="W18" s="353"/>
    </row>
    <row r="19" spans="1:23">
      <c r="A19" s="397"/>
      <c r="B19" s="149" t="s">
        <v>43</v>
      </c>
      <c r="C19" s="150"/>
      <c r="D19" s="234">
        <v>0</v>
      </c>
      <c r="E19" s="233">
        <v>0.02</v>
      </c>
      <c r="F19" s="151">
        <v>19</v>
      </c>
      <c r="G19" s="141">
        <f t="shared" si="0"/>
        <v>2</v>
      </c>
      <c r="H19" s="377"/>
      <c r="I19" s="353"/>
      <c r="J19" s="141">
        <v>7.0000000000000001E-3</v>
      </c>
      <c r="K19" s="141">
        <v>17.273</v>
      </c>
      <c r="L19" s="146">
        <f t="shared" si="2"/>
        <v>2</v>
      </c>
      <c r="M19" s="347"/>
      <c r="N19" s="353"/>
      <c r="O19" s="353"/>
      <c r="P19" s="353"/>
      <c r="Q19" s="353"/>
      <c r="R19" s="147">
        <f t="shared" si="1"/>
        <v>0</v>
      </c>
      <c r="S19" s="347"/>
      <c r="T19" s="353"/>
      <c r="U19" s="353"/>
      <c r="V19" s="353"/>
      <c r="W19" s="353"/>
    </row>
    <row r="20" spans="1:23">
      <c r="A20" s="397"/>
      <c r="B20" s="149" t="s">
        <v>44</v>
      </c>
      <c r="C20" s="150"/>
      <c r="D20" s="234">
        <v>0</v>
      </c>
      <c r="E20" s="233">
        <v>1E-3</v>
      </c>
      <c r="F20" s="151">
        <v>19</v>
      </c>
      <c r="G20" s="141">
        <f t="shared" si="0"/>
        <v>2</v>
      </c>
      <c r="H20" s="377"/>
      <c r="I20" s="353"/>
      <c r="J20" s="141">
        <v>0.02</v>
      </c>
      <c r="K20" s="141">
        <v>17.274999999999999</v>
      </c>
      <c r="L20" s="146">
        <f t="shared" si="2"/>
        <v>2</v>
      </c>
      <c r="M20" s="347"/>
      <c r="N20" s="353"/>
      <c r="O20" s="353"/>
      <c r="P20" s="353"/>
      <c r="Q20" s="353"/>
      <c r="R20" s="147">
        <f t="shared" si="1"/>
        <v>2</v>
      </c>
      <c r="S20" s="347"/>
      <c r="T20" s="353"/>
      <c r="U20" s="353"/>
      <c r="V20" s="353"/>
      <c r="W20" s="353"/>
    </row>
    <row r="21" spans="1:23">
      <c r="A21" s="397"/>
      <c r="B21" s="149" t="s">
        <v>45</v>
      </c>
      <c r="C21" s="150"/>
      <c r="D21" s="234">
        <v>0</v>
      </c>
      <c r="E21" s="233">
        <v>0.01</v>
      </c>
      <c r="F21" s="151">
        <v>19</v>
      </c>
      <c r="G21" s="141">
        <f t="shared" si="0"/>
        <v>2</v>
      </c>
      <c r="H21" s="377"/>
      <c r="I21" s="353"/>
      <c r="J21" s="141">
        <v>0.01</v>
      </c>
      <c r="K21" s="141">
        <v>17.274000000000001</v>
      </c>
      <c r="L21" s="146">
        <f t="shared" si="2"/>
        <v>2</v>
      </c>
      <c r="M21" s="347"/>
      <c r="N21" s="353"/>
      <c r="O21" s="353"/>
      <c r="P21" s="353"/>
      <c r="Q21" s="353"/>
      <c r="R21" s="147">
        <f t="shared" si="1"/>
        <v>0</v>
      </c>
      <c r="S21" s="347"/>
      <c r="T21" s="353"/>
      <c r="U21" s="353"/>
      <c r="V21" s="353"/>
      <c r="W21" s="353"/>
    </row>
    <row r="22" spans="1:23" ht="36.5" thickBot="1">
      <c r="A22" s="398"/>
      <c r="B22" s="152" t="s">
        <v>37</v>
      </c>
      <c r="C22" s="153" t="s">
        <v>10</v>
      </c>
      <c r="D22" s="266">
        <v>0</v>
      </c>
      <c r="E22" s="267">
        <v>0.05</v>
      </c>
      <c r="F22" s="151">
        <v>19</v>
      </c>
      <c r="G22" s="154">
        <f t="shared" si="0"/>
        <v>2</v>
      </c>
      <c r="H22" s="378"/>
      <c r="I22" s="354"/>
      <c r="J22" s="154">
        <v>0.09</v>
      </c>
      <c r="K22" s="154">
        <v>17.280999999999999</v>
      </c>
      <c r="L22" s="155">
        <f t="shared" si="2"/>
        <v>2</v>
      </c>
      <c r="M22" s="348"/>
      <c r="N22" s="354"/>
      <c r="O22" s="354"/>
      <c r="P22" s="354"/>
      <c r="Q22" s="354"/>
      <c r="R22" s="156">
        <f t="shared" si="1"/>
        <v>2</v>
      </c>
      <c r="S22" s="348"/>
      <c r="T22" s="354"/>
      <c r="U22" s="354"/>
      <c r="V22" s="354"/>
      <c r="W22" s="354"/>
    </row>
    <row r="23" spans="1:23" ht="18.75" customHeight="1">
      <c r="A23" s="385" t="s">
        <v>34</v>
      </c>
      <c r="B23" s="157" t="s">
        <v>3</v>
      </c>
      <c r="C23" s="158" t="s">
        <v>4</v>
      </c>
      <c r="D23" s="258">
        <v>5.5</v>
      </c>
      <c r="E23" s="259">
        <v>7.5</v>
      </c>
      <c r="F23" s="225">
        <v>9</v>
      </c>
      <c r="G23" s="159">
        <f t="shared" si="0"/>
        <v>1</v>
      </c>
      <c r="H23" s="388">
        <v>7.0000000000000007E-2</v>
      </c>
      <c r="I23" s="362" t="str">
        <f>IF(H23&lt;=0.5,"Faible",IF(H23&lt;=1,"Moyenne","Forte"))</f>
        <v>Faible</v>
      </c>
      <c r="J23" s="159">
        <v>9</v>
      </c>
      <c r="K23" s="141">
        <v>9</v>
      </c>
      <c r="L23" s="221">
        <f t="shared" si="2"/>
        <v>1</v>
      </c>
      <c r="M23" s="346">
        <f>AVERAGE(L23:L36)</f>
        <v>0.21428571428571427</v>
      </c>
      <c r="N23" s="362" t="str">
        <f>IF(M23&lt;=0.5,"Faible",IF(M23&lt;=1,"Moyenne","Forte"))</f>
        <v>Faible</v>
      </c>
      <c r="O23" s="352" t="str">
        <f>IF(AND(N23="FORTE",I23="FORTE"),"FORTE",
 IF(AND(N23="FORTE",I23="MOYENNE"),"FORTE",
 IF(AND(N23="FORTE",I23="FAIBLE"),"MOYENNE",
 IF(AND(N23="MOYENNE",I23="FORTE"),"FORTE",
 IF(AND(N23="MOYENNE",I23="MOYENNE"),"MOYENNE",
 IF(AND(N23="MOYENNE",I23="FAIBLE"),"FAIBLE",
 IF(AND(N23="FAIBLE",I23="FORTE"),"MOYENNE",
 IF(AND(N23="FAIBLE",I23="MOYENNE"),"FAIBLE",
 IF(AND(N23="FAIBLE",I23="FAIBLE"),"FAIBLE","Erreur")))))))))</f>
        <v>FAIBLE</v>
      </c>
      <c r="P23" s="352" t="s">
        <v>57</v>
      </c>
      <c r="Q23" s="352">
        <f>IF(P23="Ponctuelle",0,
IF(P23="Locale",0.5,
IF(P23="Régionale",1.25,
IF(P23="Nationale",2,
""))))</f>
        <v>0.5</v>
      </c>
      <c r="R23" s="147">
        <f t="shared" si="1"/>
        <v>1</v>
      </c>
      <c r="S23" s="346">
        <f>AVERAGE(R23:R36)</f>
        <v>0.2857142857142857</v>
      </c>
      <c r="T23" s="352" t="str">
        <f>IF(S23&lt;=1,"FAIBLE",IF(S23=2,"MOYENNE","FORTE"))</f>
        <v>FAIBLE</v>
      </c>
      <c r="U23" s="352" t="str">
        <f>IF(O23="ABSOLUE","Inadmissible",
IF(O23="Forte",
    IF(T23="Forte",
        IF(OR(P23="Nationale",P23="Régionale",P23="Locale"),"Majeure","Moyenne"),
    IF(T23="Moyenne",
        IF(OR(P23="Nationale",P23="Régionale"),"Majeure","Moyenne"),
    IF(T23="Faible",
        IF(OR(P23="Nationale",P23="Régionale"),"Majeure","Mineure"),
    ""))),
IF(O23="Moyenne",
    IF(T23="Forte",
        IF(P23="Nationale","Majeure",
        IF(P23="Régionale","Moyenne","Moyenne")),
    IF(T23="Moyenne","Moyenne",
    IF(T23="Faible",
        IF(OR(P23="Nationale",P23="Régionale"),"Moyenne","Mineure"),
    ""))),
IF(O23="Faible",
    IF(T23="Forte",
        IF(OR(P23="Nationale",P23="Régionale"),"Moyenne","Mineure"),
    IF(T23="Moyenne","Mineure",
    "Mineure")),
IF(O23="Très Faible",
    IF(T23="Forte","Mineure",
    "Mineure à nulle"))))))</f>
        <v>Mineure</v>
      </c>
      <c r="V23" s="352" t="s">
        <v>220</v>
      </c>
      <c r="W23" s="352" t="str">
        <f>IF(OR(U23="Mineure",U23="Mineure à nulle"),"Mineure",
 IF(U23="Moyenne",
    IF(V23="Courte","Mineure","Moyenne"),
 IF(U23="Majeure",
    IF(V23="Courte","Moyenne","Majeure"),
 "")))</f>
        <v>Mineure</v>
      </c>
    </row>
    <row r="24" spans="1:23" ht="18.75" customHeight="1">
      <c r="A24" s="386"/>
      <c r="B24" s="160" t="s">
        <v>18</v>
      </c>
      <c r="C24" s="161" t="s">
        <v>19</v>
      </c>
      <c r="D24" s="237">
        <v>9.9999999999999995E-7</v>
      </c>
      <c r="E24" s="236">
        <v>1E-3</v>
      </c>
      <c r="F24" s="226">
        <v>1E-3</v>
      </c>
      <c r="G24" s="184">
        <f t="shared" si="0"/>
        <v>0</v>
      </c>
      <c r="H24" s="389"/>
      <c r="I24" s="363"/>
      <c r="J24" s="162">
        <v>1E-3</v>
      </c>
      <c r="K24" s="141">
        <v>1E-3</v>
      </c>
      <c r="L24" s="146">
        <f t="shared" si="2"/>
        <v>0</v>
      </c>
      <c r="M24" s="347"/>
      <c r="N24" s="363"/>
      <c r="O24" s="353"/>
      <c r="P24" s="353"/>
      <c r="Q24" s="353"/>
      <c r="R24" s="147">
        <f t="shared" si="1"/>
        <v>0</v>
      </c>
      <c r="S24" s="347"/>
      <c r="T24" s="353"/>
      <c r="U24" s="353"/>
      <c r="V24" s="353"/>
      <c r="W24" s="353"/>
    </row>
    <row r="25" spans="1:23">
      <c r="A25" s="386"/>
      <c r="B25" s="160" t="s">
        <v>20</v>
      </c>
      <c r="C25" s="161" t="s">
        <v>21</v>
      </c>
      <c r="D25" s="235">
        <v>2</v>
      </c>
      <c r="E25" s="236">
        <v>10</v>
      </c>
      <c r="F25" s="151">
        <v>2</v>
      </c>
      <c r="G25" s="141">
        <f t="shared" si="0"/>
        <v>0</v>
      </c>
      <c r="H25" s="389"/>
      <c r="I25" s="363"/>
      <c r="J25" s="140">
        <v>2</v>
      </c>
      <c r="K25" s="141">
        <v>2</v>
      </c>
      <c r="L25" s="146">
        <f t="shared" si="2"/>
        <v>0</v>
      </c>
      <c r="M25" s="347"/>
      <c r="N25" s="363"/>
      <c r="O25" s="353"/>
      <c r="P25" s="353"/>
      <c r="Q25" s="353"/>
      <c r="R25" s="147">
        <f t="shared" si="1"/>
        <v>0</v>
      </c>
      <c r="S25" s="347"/>
      <c r="T25" s="353"/>
      <c r="U25" s="353"/>
      <c r="V25" s="353"/>
      <c r="W25" s="353"/>
    </row>
    <row r="26" spans="1:23">
      <c r="A26" s="386"/>
      <c r="B26" s="160" t="s">
        <v>22</v>
      </c>
      <c r="C26" s="161" t="s">
        <v>21</v>
      </c>
      <c r="D26" s="235">
        <v>1</v>
      </c>
      <c r="E26" s="236"/>
      <c r="F26" s="151">
        <v>2</v>
      </c>
      <c r="G26" s="140">
        <f t="shared" si="0"/>
        <v>2</v>
      </c>
      <c r="H26" s="389"/>
      <c r="I26" s="363"/>
      <c r="J26" s="140">
        <v>2</v>
      </c>
      <c r="K26" s="141">
        <v>2</v>
      </c>
      <c r="L26" s="146">
        <f t="shared" si="2"/>
        <v>2</v>
      </c>
      <c r="M26" s="347"/>
      <c r="N26" s="363"/>
      <c r="O26" s="353"/>
      <c r="P26" s="353"/>
      <c r="Q26" s="353"/>
      <c r="R26" s="147">
        <f t="shared" si="1"/>
        <v>2</v>
      </c>
      <c r="S26" s="347"/>
      <c r="T26" s="353"/>
      <c r="U26" s="353"/>
      <c r="V26" s="353"/>
      <c r="W26" s="353"/>
    </row>
    <row r="27" spans="1:23">
      <c r="A27" s="386"/>
      <c r="B27" s="163" t="s">
        <v>38</v>
      </c>
      <c r="C27" s="164"/>
      <c r="D27" s="235">
        <v>50</v>
      </c>
      <c r="E27" s="236">
        <v>300</v>
      </c>
      <c r="F27" s="227">
        <v>300</v>
      </c>
      <c r="G27" s="140">
        <f t="shared" si="0"/>
        <v>0</v>
      </c>
      <c r="H27" s="389"/>
      <c r="I27" s="363"/>
      <c r="J27" s="195">
        <v>300</v>
      </c>
      <c r="K27" s="141">
        <v>300</v>
      </c>
      <c r="L27" s="146">
        <f t="shared" si="2"/>
        <v>0</v>
      </c>
      <c r="M27" s="347"/>
      <c r="N27" s="363"/>
      <c r="O27" s="353"/>
      <c r="P27" s="353"/>
      <c r="Q27" s="353"/>
      <c r="R27" s="147">
        <f t="shared" si="1"/>
        <v>0</v>
      </c>
      <c r="S27" s="347"/>
      <c r="T27" s="353"/>
      <c r="U27" s="353"/>
      <c r="V27" s="353"/>
      <c r="W27" s="353"/>
    </row>
    <row r="28" spans="1:23">
      <c r="A28" s="386"/>
      <c r="B28" s="163" t="s">
        <v>39</v>
      </c>
      <c r="C28" s="164"/>
      <c r="D28" s="235">
        <v>1</v>
      </c>
      <c r="E28" s="236">
        <v>3</v>
      </c>
      <c r="F28" s="228">
        <v>3</v>
      </c>
      <c r="G28" s="140">
        <f t="shared" si="0"/>
        <v>0</v>
      </c>
      <c r="H28" s="389"/>
      <c r="I28" s="363"/>
      <c r="J28" s="165">
        <v>3</v>
      </c>
      <c r="K28" s="141">
        <v>3</v>
      </c>
      <c r="L28" s="146">
        <f t="shared" si="2"/>
        <v>0</v>
      </c>
      <c r="M28" s="347"/>
      <c r="N28" s="363"/>
      <c r="O28" s="353"/>
      <c r="P28" s="353"/>
      <c r="Q28" s="353"/>
      <c r="R28" s="147">
        <f t="shared" si="1"/>
        <v>0</v>
      </c>
      <c r="S28" s="347"/>
      <c r="T28" s="353"/>
      <c r="U28" s="353"/>
      <c r="V28" s="353"/>
      <c r="W28" s="353"/>
    </row>
    <row r="29" spans="1:23">
      <c r="A29" s="386"/>
      <c r="B29" s="163" t="s">
        <v>44</v>
      </c>
      <c r="C29" s="164"/>
      <c r="D29" s="235">
        <v>0.5</v>
      </c>
      <c r="E29" s="236">
        <v>2</v>
      </c>
      <c r="F29" s="228">
        <v>2</v>
      </c>
      <c r="G29" s="140">
        <f t="shared" si="0"/>
        <v>0</v>
      </c>
      <c r="H29" s="389"/>
      <c r="I29" s="363"/>
      <c r="J29" s="165">
        <v>2</v>
      </c>
      <c r="K29" s="141">
        <v>2</v>
      </c>
      <c r="L29" s="146">
        <f t="shared" si="2"/>
        <v>0</v>
      </c>
      <c r="M29" s="347"/>
      <c r="N29" s="363"/>
      <c r="O29" s="353"/>
      <c r="P29" s="353"/>
      <c r="Q29" s="353"/>
      <c r="R29" s="147">
        <f t="shared" si="1"/>
        <v>0</v>
      </c>
      <c r="S29" s="347"/>
      <c r="T29" s="353"/>
      <c r="U29" s="353"/>
      <c r="V29" s="353"/>
      <c r="W29" s="353"/>
    </row>
    <row r="30" spans="1:23">
      <c r="A30" s="386"/>
      <c r="B30" s="163" t="s">
        <v>45</v>
      </c>
      <c r="C30" s="164"/>
      <c r="D30" s="235">
        <v>10</v>
      </c>
      <c r="E30" s="236">
        <v>50</v>
      </c>
      <c r="F30" s="228">
        <v>30</v>
      </c>
      <c r="G30" s="140">
        <f t="shared" si="0"/>
        <v>0</v>
      </c>
      <c r="H30" s="389"/>
      <c r="I30" s="363"/>
      <c r="J30" s="165">
        <v>30</v>
      </c>
      <c r="K30" s="141">
        <v>30</v>
      </c>
      <c r="L30" s="146">
        <f t="shared" si="2"/>
        <v>0</v>
      </c>
      <c r="M30" s="347"/>
      <c r="N30" s="363"/>
      <c r="O30" s="353"/>
      <c r="P30" s="353"/>
      <c r="Q30" s="353"/>
      <c r="R30" s="147">
        <f t="shared" si="1"/>
        <v>0</v>
      </c>
      <c r="S30" s="347"/>
      <c r="T30" s="353"/>
      <c r="U30" s="353"/>
      <c r="V30" s="353"/>
      <c r="W30" s="353"/>
    </row>
    <row r="31" spans="1:23">
      <c r="A31" s="386"/>
      <c r="B31" s="163" t="s">
        <v>40</v>
      </c>
      <c r="C31" s="164"/>
      <c r="D31" s="235">
        <v>50</v>
      </c>
      <c r="E31" s="236">
        <v>200</v>
      </c>
      <c r="F31" s="228">
        <v>200</v>
      </c>
      <c r="G31" s="140">
        <f t="shared" si="0"/>
        <v>0</v>
      </c>
      <c r="H31" s="389"/>
      <c r="I31" s="363"/>
      <c r="J31" s="165">
        <v>200</v>
      </c>
      <c r="K31" s="141">
        <v>200</v>
      </c>
      <c r="L31" s="146">
        <f t="shared" si="2"/>
        <v>0</v>
      </c>
      <c r="M31" s="347"/>
      <c r="N31" s="363"/>
      <c r="O31" s="353"/>
      <c r="P31" s="353"/>
      <c r="Q31" s="353"/>
      <c r="R31" s="147">
        <f t="shared" si="1"/>
        <v>0</v>
      </c>
      <c r="S31" s="347"/>
      <c r="T31" s="353"/>
      <c r="U31" s="353"/>
      <c r="V31" s="353"/>
      <c r="W31" s="353"/>
    </row>
    <row r="32" spans="1:23">
      <c r="A32" s="386"/>
      <c r="B32" s="163" t="s">
        <v>41</v>
      </c>
      <c r="C32" s="164"/>
      <c r="D32" s="235">
        <v>50</v>
      </c>
      <c r="E32" s="236">
        <v>140</v>
      </c>
      <c r="F32" s="228">
        <v>80</v>
      </c>
      <c r="G32" s="140">
        <f t="shared" si="0"/>
        <v>0</v>
      </c>
      <c r="H32" s="389"/>
      <c r="I32" s="363"/>
      <c r="J32" s="165">
        <v>80</v>
      </c>
      <c r="K32" s="141">
        <v>80</v>
      </c>
      <c r="L32" s="146">
        <f t="shared" si="2"/>
        <v>0</v>
      </c>
      <c r="M32" s="347"/>
      <c r="N32" s="363"/>
      <c r="O32" s="353"/>
      <c r="P32" s="353"/>
      <c r="Q32" s="353"/>
      <c r="R32" s="147">
        <f t="shared" si="1"/>
        <v>0</v>
      </c>
      <c r="S32" s="347"/>
      <c r="T32" s="353"/>
      <c r="U32" s="353"/>
      <c r="V32" s="353"/>
      <c r="W32" s="353"/>
    </row>
    <row r="33" spans="1:23" ht="18.75" customHeight="1">
      <c r="A33" s="386"/>
      <c r="B33" s="163" t="s">
        <v>42</v>
      </c>
      <c r="C33" s="164"/>
      <c r="D33" s="235">
        <v>150</v>
      </c>
      <c r="E33" s="236">
        <v>300</v>
      </c>
      <c r="F33" s="228">
        <v>300</v>
      </c>
      <c r="G33" s="140">
        <f t="shared" si="0"/>
        <v>0</v>
      </c>
      <c r="H33" s="389"/>
      <c r="I33" s="363"/>
      <c r="J33" s="165">
        <v>300</v>
      </c>
      <c r="K33" s="141">
        <v>300</v>
      </c>
      <c r="L33" s="146">
        <f t="shared" si="2"/>
        <v>0</v>
      </c>
      <c r="M33" s="347"/>
      <c r="N33" s="363"/>
      <c r="O33" s="353"/>
      <c r="P33" s="353"/>
      <c r="Q33" s="353"/>
      <c r="R33" s="147">
        <f t="shared" si="1"/>
        <v>0</v>
      </c>
      <c r="S33" s="347"/>
      <c r="T33" s="353"/>
      <c r="U33" s="353"/>
      <c r="V33" s="353"/>
      <c r="W33" s="353"/>
    </row>
    <row r="34" spans="1:23">
      <c r="A34" s="386"/>
      <c r="B34" s="163" t="s">
        <v>43</v>
      </c>
      <c r="C34" s="164"/>
      <c r="D34" s="235">
        <v>30</v>
      </c>
      <c r="E34" s="236">
        <v>75</v>
      </c>
      <c r="F34" s="228">
        <v>33</v>
      </c>
      <c r="G34" s="140">
        <f t="shared" si="0"/>
        <v>0</v>
      </c>
      <c r="H34" s="389"/>
      <c r="I34" s="363"/>
      <c r="J34" s="165">
        <v>79</v>
      </c>
      <c r="K34" s="141">
        <v>37.182000000000002</v>
      </c>
      <c r="L34" s="146">
        <f t="shared" si="2"/>
        <v>0</v>
      </c>
      <c r="M34" s="347"/>
      <c r="N34" s="363"/>
      <c r="O34" s="353"/>
      <c r="P34" s="353"/>
      <c r="Q34" s="353"/>
      <c r="R34" s="147">
        <f t="shared" si="1"/>
        <v>1</v>
      </c>
      <c r="S34" s="347"/>
      <c r="T34" s="353"/>
      <c r="U34" s="353"/>
      <c r="V34" s="353"/>
      <c r="W34" s="353"/>
    </row>
    <row r="35" spans="1:23">
      <c r="A35" s="386"/>
      <c r="B35" s="160" t="s">
        <v>17</v>
      </c>
      <c r="C35" s="161" t="s">
        <v>23</v>
      </c>
      <c r="D35" s="238">
        <v>1000</v>
      </c>
      <c r="E35" s="239">
        <v>5000</v>
      </c>
      <c r="F35" s="166">
        <v>3000</v>
      </c>
      <c r="G35" s="140">
        <f t="shared" si="0"/>
        <v>0</v>
      </c>
      <c r="H35" s="389"/>
      <c r="I35" s="363"/>
      <c r="J35" s="166">
        <v>3000</v>
      </c>
      <c r="K35" s="141">
        <v>3000</v>
      </c>
      <c r="L35" s="146">
        <f t="shared" si="2"/>
        <v>0</v>
      </c>
      <c r="M35" s="347"/>
      <c r="N35" s="363"/>
      <c r="O35" s="353"/>
      <c r="P35" s="353"/>
      <c r="Q35" s="353"/>
      <c r="R35" s="147">
        <f t="shared" si="1"/>
        <v>0</v>
      </c>
      <c r="S35" s="347"/>
      <c r="T35" s="353"/>
      <c r="U35" s="353"/>
      <c r="V35" s="353"/>
      <c r="W35" s="353"/>
    </row>
    <row r="36" spans="1:23" ht="19.5" customHeight="1" thickBot="1">
      <c r="A36" s="387"/>
      <c r="B36" s="167" t="s">
        <v>16</v>
      </c>
      <c r="C36" s="168" t="s">
        <v>23</v>
      </c>
      <c r="D36" s="249">
        <v>200</v>
      </c>
      <c r="E36" s="250">
        <v>3000</v>
      </c>
      <c r="F36" s="224">
        <v>250</v>
      </c>
      <c r="G36" s="169">
        <f t="shared" si="0"/>
        <v>0</v>
      </c>
      <c r="H36" s="390"/>
      <c r="I36" s="364"/>
      <c r="J36" s="154">
        <v>250</v>
      </c>
      <c r="K36" s="154">
        <v>250</v>
      </c>
      <c r="L36" s="155">
        <f t="shared" si="2"/>
        <v>0</v>
      </c>
      <c r="M36" s="348"/>
      <c r="N36" s="364"/>
      <c r="O36" s="354"/>
      <c r="P36" s="354"/>
      <c r="Q36" s="354"/>
      <c r="R36" s="156">
        <f t="shared" si="1"/>
        <v>0</v>
      </c>
      <c r="S36" s="348"/>
      <c r="T36" s="354"/>
      <c r="U36" s="354"/>
      <c r="V36" s="354"/>
      <c r="W36" s="354"/>
    </row>
    <row r="37" spans="1:23" ht="18.75" customHeight="1">
      <c r="A37" s="394" t="s">
        <v>269</v>
      </c>
      <c r="B37" s="394"/>
      <c r="C37" s="394" t="s">
        <v>268</v>
      </c>
      <c r="D37" s="34">
        <v>0</v>
      </c>
      <c r="E37" s="111">
        <v>55</v>
      </c>
      <c r="F37" s="178">
        <v>20</v>
      </c>
      <c r="G37" s="185">
        <f t="shared" si="0"/>
        <v>0</v>
      </c>
      <c r="H37" s="376">
        <f>AVERAGE(G37:G38)</f>
        <v>0</v>
      </c>
      <c r="I37" s="349" t="str">
        <f>IF(H37&lt;=0.5,"Faible",IF(H37&lt;=1,"Moyenne","Forte"))</f>
        <v>Faible</v>
      </c>
      <c r="J37" s="178">
        <v>22</v>
      </c>
      <c r="K37" s="141">
        <v>20.181999999999999</v>
      </c>
      <c r="L37" s="221">
        <f t="shared" si="2"/>
        <v>0</v>
      </c>
      <c r="M37" s="346">
        <f>AVERAGE(L37:L38)</f>
        <v>0</v>
      </c>
      <c r="N37" s="349" t="str">
        <f>IF(M37&lt;=0.5,"Faible",IF(M37&lt;=1,"Moyenne","Forte"))</f>
        <v>Faible</v>
      </c>
      <c r="O37" s="352" t="str">
        <f>IF(AND(N37="FORTE",I37="FORTE"),"FORTE",
 IF(AND(N37="FORTE",I37="MOYENNE"),"FORTE",
 IF(AND(N37="FORTE",I37="FAIBLE"),"MOYENNE",
 IF(AND(N37="MOYENNE",I37="FORTE"),"FORTE",
 IF(AND(N37="MOYENNE",I37="MOYENNE"),"MOYENNE",
 IF(AND(N37="MOYENNE",I37="FAIBLE"),"FAIBLE",
 IF(AND(N37="FAIBLE",I37="FORTE"),"MOYENNE",
 IF(AND(N37="FAIBLE",I37="MOYENNE"),"FAIBLE",
 IF(AND(N37="FAIBLE",I37="FAIBLE"),"FAIBLE","Erreur")))))))))</f>
        <v>FAIBLE</v>
      </c>
      <c r="P37" s="352" t="s">
        <v>59</v>
      </c>
      <c r="Q37" s="352">
        <f>IF(P37="Ponctuelle",0,
IF(P37="Locale",0.5,
IF(P37="Régionale",1.25,
IF(P37="Nationale",2,
""))))</f>
        <v>2</v>
      </c>
      <c r="R37" s="179">
        <f t="shared" si="1"/>
        <v>0</v>
      </c>
      <c r="S37" s="346">
        <f>AVERAGE(R37:R38)</f>
        <v>0</v>
      </c>
      <c r="T37" s="352" t="str">
        <f>IF(S37&lt;=1,"FAIBLE",IF(S37=2,"MOYENNE","FORTE"))</f>
        <v>FAIBLE</v>
      </c>
      <c r="U37" s="352" t="str">
        <f>IF(O37="ABSOLUE","Inadmissible",
IF(O37="Forte",
    IF(T37="Forte",
        IF(OR(P37="Nationale",P37="Régionale",P37="Locale"),"Majeure","Moyenne"),
    IF(T37="Moyenne",
        IF(OR(P37="Nationale",P37="Régionale"),"Majeure","Moyenne"),
    IF(T37="Faible",
        IF(OR(P37="Nationale",P37="Régionale"),"Majeure","Mineure"),
    ""))),
IF(O37="Moyenne",
    IF(T37="Forte",
        IF(P37="Nationale","Majeure",
        IF(P37="Régionale","Moyenne","Moyenne")),
    IF(T37="Moyenne","Moyenne",
    IF(T37="Faible",
        IF(OR(P37="Nationale",P37="Régionale"),"Moyenne","Mineure"),
    ""))),
IF(O37="Faible",
    IF(T37="Forte",
        IF(OR(P37="Nationale",P37="Régionale"),"Moyenne","Mineure"),
    IF(T37="Moyenne","Mineure",
    "Mineure")),
IF(O37="Très Faible",
    IF(T37="Forte","Mineure",
    "Mineure à nulle"))))))</f>
        <v>Mineure</v>
      </c>
      <c r="V37" s="352" t="s">
        <v>220</v>
      </c>
      <c r="W37" s="352" t="str">
        <f>IF(OR(U37="Mineure",U37="Mineure à nulle"),"Mineure",
 IF(U37="Moyenne",
    IF(V37="Courte","Mineure","Moyenne"),
 IF(U37="Majeure",
    IF(V37="Courte","Moyenne","Majeure"),
 "")))</f>
        <v>Mineure</v>
      </c>
    </row>
    <row r="38" spans="1:23" ht="18.5" thickBot="1">
      <c r="A38" s="395"/>
      <c r="B38" s="395"/>
      <c r="C38" s="395"/>
      <c r="D38" s="262">
        <v>0</v>
      </c>
      <c r="E38" s="263">
        <v>65</v>
      </c>
      <c r="F38" s="264">
        <v>20</v>
      </c>
      <c r="G38" s="265">
        <f t="shared" si="0"/>
        <v>0</v>
      </c>
      <c r="H38" s="378"/>
      <c r="I38" s="351"/>
      <c r="J38" s="264">
        <v>29</v>
      </c>
      <c r="K38" s="169">
        <v>20.818000000000001</v>
      </c>
      <c r="L38" s="155">
        <f t="shared" si="2"/>
        <v>0</v>
      </c>
      <c r="M38" s="348"/>
      <c r="N38" s="351"/>
      <c r="O38" s="354"/>
      <c r="P38" s="354"/>
      <c r="Q38" s="354"/>
      <c r="R38" s="156">
        <f t="shared" si="1"/>
        <v>0</v>
      </c>
      <c r="S38" s="348"/>
      <c r="T38" s="354"/>
      <c r="U38" s="354"/>
      <c r="V38" s="354"/>
      <c r="W38" s="354"/>
    </row>
    <row r="39" spans="1:23" ht="18.5" thickBot="1">
      <c r="A39" s="247" t="s">
        <v>270</v>
      </c>
      <c r="B39" s="247" t="s">
        <v>271</v>
      </c>
      <c r="C39" s="247"/>
      <c r="D39" s="252" t="s">
        <v>272</v>
      </c>
      <c r="E39" s="247" t="s">
        <v>273</v>
      </c>
      <c r="F39" s="253" t="s">
        <v>273</v>
      </c>
      <c r="G39" s="185">
        <f>IF(F39=D39,0,IF(F39=E39,2))</f>
        <v>2</v>
      </c>
      <c r="H39" s="246">
        <f>G39</f>
        <v>2</v>
      </c>
      <c r="I39" s="187" t="str">
        <f>IF(H39&lt;=0.5,"Faible",IF(H39&lt;=1,"Moyenne","Forte"))</f>
        <v>Forte</v>
      </c>
      <c r="J39" s="257"/>
      <c r="K39" s="268">
        <v>0</v>
      </c>
      <c r="L39" s="269"/>
      <c r="M39" s="254"/>
      <c r="N39" s="255"/>
      <c r="O39" s="256"/>
      <c r="P39" s="256"/>
      <c r="Q39" s="256"/>
      <c r="R39" s="270"/>
      <c r="S39" s="254"/>
      <c r="T39" s="256"/>
      <c r="U39" s="256"/>
      <c r="V39" s="256"/>
      <c r="W39" s="208" t="str">
        <f>IF(G39=0, "Impacte posetif", "Mineure")</f>
        <v>Mineure</v>
      </c>
    </row>
    <row r="40" spans="1:23" ht="18.75" customHeight="1">
      <c r="A40" s="391" t="s">
        <v>35</v>
      </c>
      <c r="B40" s="170" t="s">
        <v>24</v>
      </c>
      <c r="C40" s="171" t="s">
        <v>25</v>
      </c>
      <c r="D40" s="251">
        <v>0</v>
      </c>
      <c r="E40" s="251">
        <v>0.23</v>
      </c>
      <c r="F40" s="229">
        <v>3</v>
      </c>
      <c r="G40" s="172">
        <f t="shared" ref="G40:G56" si="3">IF(AND(F40&gt;=D40,F40&lt;=E40),0,IF(AND(F40&gt;=D40*0.8,F40&lt;=E40*1.2),1,2))</f>
        <v>2</v>
      </c>
      <c r="H40" s="376">
        <v>1.86</v>
      </c>
      <c r="I40" s="352" t="str">
        <f>IF(H40&lt;=0.5,"Faible",IF(H40&lt;=1,"Moyenne","Forte"))</f>
        <v>Forte</v>
      </c>
      <c r="J40" s="172">
        <v>1</v>
      </c>
      <c r="K40" s="141">
        <v>2.8180000000000001</v>
      </c>
      <c r="L40" s="221">
        <f t="shared" ref="L40:L56" si="4">IF(AND(K40&gt;=D40,K40&lt;=E40),0,IF(AND(K40&gt;=D40*0.8,K40&lt;=E40*1.2),1,2))</f>
        <v>2</v>
      </c>
      <c r="M40" s="346">
        <f>AVERAGE(L40:L46)</f>
        <v>1.7142857142857142</v>
      </c>
      <c r="N40" s="352" t="str">
        <f>IF(M40&lt;=0.5,"Faible",IF(M40&lt;=1,"Moyenne","Forte"))</f>
        <v>Forte</v>
      </c>
      <c r="O40" s="352" t="str">
        <f>IF(AND(N40="FORTE",I40="FORTE"),"FORTE",
 IF(AND(N40="FORTE",I40="MOYENNE"),"FORTE",
 IF(AND(N40="FORTE",I40="FAIBLE"),"MOYENNE",
 IF(AND(N40="MOYENNE",I40="FORTE"),"FORTE",
 IF(AND(N40="MOYENNE",I40="MOYENNE"),"MOYENNE",
 IF(AND(N40="MOYENNE",I40="FAIBLE"),"FAIBLE",
 IF(AND(N40="FAIBLE",I40="FORTE"),"MOYENNE",
 IF(AND(N40="FAIBLE",I40="MOYENNE"),"FAIBLE",
 IF(AND(N40="FAIBLE",I40="FAIBLE"),"FAIBLE","Erreur")))))))))</f>
        <v>FORTE</v>
      </c>
      <c r="P40" s="352" t="s">
        <v>57</v>
      </c>
      <c r="Q40" s="352">
        <f>IF(P40="Ponctuelle",0,
IF(P40="Locale",0.5,
IF(P40="Régionale",1.25,
IF(P40="Nationale",2,
""))))</f>
        <v>0.5</v>
      </c>
      <c r="R40" s="173">
        <f t="shared" ref="R40:R56" si="5">IF(AND(J40&gt;=D40,J40&lt;=E40),0,IF(AND(J40&gt;=D40*0.8,J40&lt;=E40*1.2),1,2))</f>
        <v>2</v>
      </c>
      <c r="S40" s="346">
        <f>AVERAGE(R40:R46)</f>
        <v>1.5714285714285714</v>
      </c>
      <c r="T40" s="381" t="str">
        <f>IF(S40&lt;=1,"FAIBLE",IF(S40=2,"MOYENNE","FORTE"))</f>
        <v>FORTE</v>
      </c>
      <c r="U40" s="352" t="str">
        <f>IF(O40="ABSOLUE","Inadmissible",
IF(O40="Forte",
    IF(T40="Forte",
        IF(OR(P40="Nationale",P40="Régionale",P40="Locale"),"Majeure","Moyenne"),
    IF(T40="Moyenne",
        IF(OR(P40="Nationale",P40="Régionale"),"Majeure","Moyenne"),
    IF(T40="Faible",
        IF(OR(P40="Nationale",P40="Régionale"),"Majeure","Mineure"),
    ""))),
IF(O40="Moyenne",
    IF(T40="Forte",
        IF(P40="Nationale","Majeure",
        IF(P40="Régionale","Moyenne","Moyenne")),
    IF(T40="Moyenne","Moyenne",
    IF(T40="Faible",
        IF(OR(P40="Nationale",P40="Régionale"),"Moyenne","Mineure"),
    ""))),
IF(O40="Faible",
    IF(T40="Forte",
        IF(OR(P40="Nationale",P40="Régionale"),"Moyenne","Mineure"),
    IF(T40="Moyenne","Mineure",
    "Mineure")),
IF(O40="Très Faible",
    IF(T40="Forte","Mineure",
    "Mineure à nulle"))))))</f>
        <v>Majeure</v>
      </c>
      <c r="V40" s="352" t="s">
        <v>240</v>
      </c>
      <c r="W40" s="352" t="str">
        <f>IF(OR(U40="Mineure",U40="Mineure à nulle"),"Mineure",
 IF(U40="Moyenne",
    IF(V40="Courte","Mineure","Moyenne"),
 IF(U40="Majeure",
    IF(V40="Courte","Moyenne","Majeure"),
 "")))</f>
        <v>Majeure</v>
      </c>
    </row>
    <row r="41" spans="1:23">
      <c r="A41" s="392"/>
      <c r="B41" s="174" t="s">
        <v>26</v>
      </c>
      <c r="C41" s="175" t="s">
        <v>27</v>
      </c>
      <c r="D41" s="174">
        <v>0</v>
      </c>
      <c r="E41" s="174">
        <v>50</v>
      </c>
      <c r="F41" s="151">
        <v>55</v>
      </c>
      <c r="G41" s="141">
        <f t="shared" si="3"/>
        <v>1</v>
      </c>
      <c r="H41" s="377"/>
      <c r="I41" s="353"/>
      <c r="J41" s="141">
        <v>70</v>
      </c>
      <c r="K41" s="141">
        <v>56.363999999999997</v>
      </c>
      <c r="L41" s="146">
        <f t="shared" si="4"/>
        <v>1</v>
      </c>
      <c r="M41" s="347"/>
      <c r="N41" s="353"/>
      <c r="O41" s="353"/>
      <c r="P41" s="353" t="s">
        <v>59</v>
      </c>
      <c r="Q41" s="353"/>
      <c r="R41" s="147">
        <f t="shared" si="5"/>
        <v>2</v>
      </c>
      <c r="S41" s="347"/>
      <c r="T41" s="382"/>
      <c r="U41" s="353"/>
      <c r="V41" s="353"/>
      <c r="W41" s="353"/>
    </row>
    <row r="42" spans="1:23">
      <c r="A42" s="392"/>
      <c r="B42" s="174" t="s">
        <v>28</v>
      </c>
      <c r="C42" s="175" t="s">
        <v>27</v>
      </c>
      <c r="D42" s="174">
        <v>0</v>
      </c>
      <c r="E42" s="174">
        <v>25</v>
      </c>
      <c r="F42" s="151">
        <v>29</v>
      </c>
      <c r="G42" s="141">
        <f t="shared" si="3"/>
        <v>1</v>
      </c>
      <c r="H42" s="377"/>
      <c r="I42" s="353"/>
      <c r="J42" s="141">
        <v>30</v>
      </c>
      <c r="K42" s="141">
        <v>29.091000000000001</v>
      </c>
      <c r="L42" s="146">
        <f t="shared" si="4"/>
        <v>1</v>
      </c>
      <c r="M42" s="347"/>
      <c r="N42" s="353"/>
      <c r="O42" s="353"/>
      <c r="P42" s="353" t="s">
        <v>59</v>
      </c>
      <c r="Q42" s="353"/>
      <c r="R42" s="147">
        <f t="shared" si="5"/>
        <v>1</v>
      </c>
      <c r="S42" s="347"/>
      <c r="T42" s="382"/>
      <c r="U42" s="353"/>
      <c r="V42" s="353"/>
      <c r="W42" s="353"/>
    </row>
    <row r="43" spans="1:23">
      <c r="A43" s="392"/>
      <c r="B43" s="174" t="s">
        <v>29</v>
      </c>
      <c r="C43" s="175" t="s">
        <v>27</v>
      </c>
      <c r="D43" s="174">
        <v>0</v>
      </c>
      <c r="E43" s="174">
        <v>120</v>
      </c>
      <c r="F43" s="151">
        <v>300</v>
      </c>
      <c r="G43" s="141">
        <f t="shared" si="3"/>
        <v>2</v>
      </c>
      <c r="H43" s="377"/>
      <c r="I43" s="353"/>
      <c r="J43" s="141">
        <v>222</v>
      </c>
      <c r="K43" s="141">
        <v>292.90899999999999</v>
      </c>
      <c r="L43" s="146">
        <f t="shared" si="4"/>
        <v>2</v>
      </c>
      <c r="M43" s="347"/>
      <c r="N43" s="353"/>
      <c r="O43" s="353"/>
      <c r="P43" s="353" t="s">
        <v>59</v>
      </c>
      <c r="Q43" s="353"/>
      <c r="R43" s="147">
        <f t="shared" si="5"/>
        <v>2</v>
      </c>
      <c r="S43" s="347"/>
      <c r="T43" s="382"/>
      <c r="U43" s="353"/>
      <c r="V43" s="353"/>
      <c r="W43" s="353"/>
    </row>
    <row r="44" spans="1:23" ht="19.5" customHeight="1">
      <c r="A44" s="392"/>
      <c r="B44" s="174" t="s">
        <v>30</v>
      </c>
      <c r="C44" s="175" t="s">
        <v>27</v>
      </c>
      <c r="D44" s="174">
        <v>0</v>
      </c>
      <c r="E44" s="174">
        <v>200</v>
      </c>
      <c r="F44" s="151">
        <v>300</v>
      </c>
      <c r="G44" s="141">
        <f t="shared" si="3"/>
        <v>2</v>
      </c>
      <c r="H44" s="377"/>
      <c r="I44" s="353"/>
      <c r="J44" s="141">
        <v>30</v>
      </c>
      <c r="K44" s="141">
        <v>275.45499999999998</v>
      </c>
      <c r="L44" s="146">
        <f t="shared" si="4"/>
        <v>2</v>
      </c>
      <c r="M44" s="347"/>
      <c r="N44" s="353"/>
      <c r="O44" s="353"/>
      <c r="P44" s="353" t="s">
        <v>59</v>
      </c>
      <c r="Q44" s="353"/>
      <c r="R44" s="147">
        <f t="shared" si="5"/>
        <v>0</v>
      </c>
      <c r="S44" s="347"/>
      <c r="T44" s="382"/>
      <c r="U44" s="353"/>
      <c r="V44" s="353"/>
      <c r="W44" s="353"/>
    </row>
    <row r="45" spans="1:23">
      <c r="A45" s="392"/>
      <c r="B45" s="174" t="s">
        <v>31</v>
      </c>
      <c r="C45" s="175" t="s">
        <v>27</v>
      </c>
      <c r="D45" s="174">
        <v>0</v>
      </c>
      <c r="E45" s="174">
        <v>10000</v>
      </c>
      <c r="F45" s="151">
        <v>20000</v>
      </c>
      <c r="G45" s="141">
        <f t="shared" si="3"/>
        <v>2</v>
      </c>
      <c r="H45" s="377"/>
      <c r="I45" s="353"/>
      <c r="J45" s="141">
        <v>20000</v>
      </c>
      <c r="K45" s="141">
        <v>20000</v>
      </c>
      <c r="L45" s="146">
        <f t="shared" si="4"/>
        <v>2</v>
      </c>
      <c r="M45" s="347"/>
      <c r="N45" s="353"/>
      <c r="O45" s="353"/>
      <c r="P45" s="353" t="s">
        <v>59</v>
      </c>
      <c r="Q45" s="353"/>
      <c r="R45" s="147">
        <f t="shared" si="5"/>
        <v>2</v>
      </c>
      <c r="S45" s="347"/>
      <c r="T45" s="382"/>
      <c r="U45" s="353"/>
      <c r="V45" s="353"/>
      <c r="W45" s="353"/>
    </row>
    <row r="46" spans="1:23" ht="29.25" customHeight="1" thickBot="1">
      <c r="A46" s="393"/>
      <c r="B46" s="260" t="s">
        <v>32</v>
      </c>
      <c r="C46" s="261" t="s">
        <v>27</v>
      </c>
      <c r="D46" s="260">
        <v>0</v>
      </c>
      <c r="E46" s="260">
        <v>120</v>
      </c>
      <c r="F46" s="224">
        <v>300</v>
      </c>
      <c r="G46" s="169">
        <f t="shared" si="3"/>
        <v>2</v>
      </c>
      <c r="H46" s="378"/>
      <c r="I46" s="354"/>
      <c r="J46" s="169">
        <v>10001</v>
      </c>
      <c r="K46" s="154">
        <v>1181.9090000000001</v>
      </c>
      <c r="L46" s="155">
        <f t="shared" si="4"/>
        <v>2</v>
      </c>
      <c r="M46" s="348"/>
      <c r="N46" s="354"/>
      <c r="O46" s="354"/>
      <c r="P46" s="354" t="s">
        <v>59</v>
      </c>
      <c r="Q46" s="354"/>
      <c r="R46" s="156">
        <f t="shared" si="5"/>
        <v>2</v>
      </c>
      <c r="S46" s="348"/>
      <c r="T46" s="383"/>
      <c r="U46" s="354"/>
      <c r="V46" s="354"/>
      <c r="W46" s="354"/>
    </row>
    <row r="47" spans="1:23" ht="19.5" customHeight="1">
      <c r="A47" s="379" t="s">
        <v>242</v>
      </c>
      <c r="B47" s="380" t="s">
        <v>254</v>
      </c>
      <c r="C47" s="124" t="s">
        <v>147</v>
      </c>
      <c r="D47" s="230">
        <v>0</v>
      </c>
      <c r="E47" s="231">
        <v>5</v>
      </c>
      <c r="F47" s="248">
        <v>5.0999999999999996</v>
      </c>
      <c r="G47" s="185">
        <f t="shared" si="3"/>
        <v>1</v>
      </c>
      <c r="H47" s="376">
        <f>AVERAGE(G47:G53)</f>
        <v>0.14285714285714285</v>
      </c>
      <c r="I47" s="349" t="str">
        <f>IF(H47&lt;=0.5,"Faible",IF(H47&lt;=1,"Moyenne","Forte"))</f>
        <v>Faible</v>
      </c>
      <c r="J47" s="248">
        <v>3</v>
      </c>
      <c r="K47" s="141">
        <v>4.9089999999999998</v>
      </c>
      <c r="L47" s="146">
        <f t="shared" si="4"/>
        <v>0</v>
      </c>
      <c r="M47" s="346">
        <f>AVERAGE(L47:L53)</f>
        <v>0</v>
      </c>
      <c r="N47" s="349" t="str">
        <f>IF(M47&lt;=0.5,"Faible",IF(M47&lt;=1,"Moyenne","Forte"))</f>
        <v>Faible</v>
      </c>
      <c r="O47" s="352" t="str">
        <f>IF(AND(N47="FORTE",I47="FORTE"),"FORTE",
 IF(AND(N47="FORTE",I47="MOYENNE"),"FORTE",
 IF(AND(N47="FORTE",I47="FAIBLE"),"MOYENNE",
 IF(AND(N47="MOYENNE",I47="FORTE"),"FORTE",
 IF(AND(N47="MOYENNE",I47="MOYENNE"),"MOYENNE",
 IF(AND(N47="MOYENNE",I47="FAIBLE"),"FAIBLE",
 IF(AND(N47="FAIBLE",I47="FORTE"),"MOYENNE",
 IF(AND(N47="FAIBLE",I47="MOYENNE"),"FAIBLE",
 IF(AND(N47="FAIBLE",I47="FAIBLE"),"FAIBLE","Erreur")))))))))</f>
        <v>FAIBLE</v>
      </c>
      <c r="P47" s="352" t="s">
        <v>57</v>
      </c>
      <c r="Q47" s="352">
        <f>IF(P47="Ponctuelle",0,
IF(P47="Locale",0.5,
IF(P47="Régionale",1.25,
IF(P47="Nationale",2,
""))))</f>
        <v>0.5</v>
      </c>
      <c r="R47" s="173">
        <f t="shared" si="5"/>
        <v>0</v>
      </c>
      <c r="S47" s="346">
        <f>AVERAGE(R47:R53)</f>
        <v>0</v>
      </c>
      <c r="T47" s="381" t="str">
        <f>IF(S47&lt;=1,"FAIBLE",IF(S47=2,"MOYENNE","FORTE"))</f>
        <v>FAIBLE</v>
      </c>
      <c r="U47" s="352" t="str">
        <f>IF(O47="ABSOLUE","Inadmissible",
IF(O47="Forte",
    IF(T47="Forte",
        IF(OR(P47="Nationale",P47="Régionale",P47="Locale"),"Majeure","Moyenne"),
    IF(T47="Moyenne",
        IF(OR(P47="Nationale",P47="Régionale"),"Majeure","Moyenne"),
    IF(T47="Faible",
        IF(OR(P47="Nationale",P47="Régionale"),"Majeure","Mineure"),
    ""))),
IF(O47="Moyenne",
    IF(T47="Forte",
        IF(P47="Nationale","Majeure",
        IF(P47="Régionale","Moyenne","Moyenne")),
    IF(T47="Moyenne","Moyenne",
    IF(T47="Faible",
        IF(OR(P47="Nationale",P47="Régionale"),"Moyenne","Mineure"),
    ""))),
IF(O47="Faible",
    IF(T47="Forte",
        IF(OR(P47="Nationale",P47="Régionale"),"Moyenne","Mineure"),
    IF(T47="Moyenne","Mineure",
    "Mineure")),
IF(O47="Très Faible",
    IF(T47="Forte","Mineure",
    "Mineure à nulle"))))))</f>
        <v>Mineure</v>
      </c>
      <c r="V47" s="352" t="s">
        <v>240</v>
      </c>
      <c r="W47" s="352" t="str">
        <f>IF(OR(U47="Mineure",U47="Mineure à nulle"),"Mineure",
 IF(U47="Moyenne",
    IF(V47="Courte","Mineure","Moyenne"),
 IF(U47="Majeure",
    IF(V47="Courte","Moyenne","Majeure"),
 "")))</f>
        <v>Mineure</v>
      </c>
    </row>
    <row r="48" spans="1:23" ht="24.75" customHeight="1">
      <c r="A48" s="374"/>
      <c r="B48" s="372"/>
      <c r="C48" s="125" t="s">
        <v>148</v>
      </c>
      <c r="D48" s="33">
        <v>0</v>
      </c>
      <c r="E48" s="33">
        <v>200</v>
      </c>
      <c r="F48" s="180">
        <v>200</v>
      </c>
      <c r="G48" s="185">
        <f t="shared" si="3"/>
        <v>0</v>
      </c>
      <c r="H48" s="377"/>
      <c r="I48" s="350"/>
      <c r="J48" s="180">
        <v>200</v>
      </c>
      <c r="K48" s="141">
        <v>200</v>
      </c>
      <c r="L48" s="146">
        <f t="shared" si="4"/>
        <v>0</v>
      </c>
      <c r="M48" s="347"/>
      <c r="N48" s="350"/>
      <c r="O48" s="353"/>
      <c r="P48" s="353" t="s">
        <v>59</v>
      </c>
      <c r="Q48" s="353"/>
      <c r="R48" s="147">
        <f t="shared" si="5"/>
        <v>0</v>
      </c>
      <c r="S48" s="347"/>
      <c r="T48" s="382"/>
      <c r="U48" s="353"/>
      <c r="V48" s="353"/>
      <c r="W48" s="353"/>
    </row>
    <row r="49" spans="1:23" ht="30.75" customHeight="1">
      <c r="A49" s="374"/>
      <c r="B49" s="371" t="s">
        <v>255</v>
      </c>
      <c r="C49" s="126" t="s">
        <v>147</v>
      </c>
      <c r="D49" s="31">
        <v>0</v>
      </c>
      <c r="E49" s="32">
        <v>5</v>
      </c>
      <c r="F49" s="180">
        <v>5</v>
      </c>
      <c r="G49" s="185">
        <f t="shared" si="3"/>
        <v>0</v>
      </c>
      <c r="H49" s="377"/>
      <c r="I49" s="350"/>
      <c r="J49" s="180">
        <v>5</v>
      </c>
      <c r="K49" s="141">
        <v>5</v>
      </c>
      <c r="L49" s="146">
        <f t="shared" si="4"/>
        <v>0</v>
      </c>
      <c r="M49" s="347"/>
      <c r="N49" s="350"/>
      <c r="O49" s="353"/>
      <c r="P49" s="353" t="s">
        <v>59</v>
      </c>
      <c r="Q49" s="353"/>
      <c r="R49" s="147">
        <f t="shared" si="5"/>
        <v>0</v>
      </c>
      <c r="S49" s="347"/>
      <c r="T49" s="382"/>
      <c r="U49" s="353"/>
      <c r="V49" s="353"/>
      <c r="W49" s="353"/>
    </row>
    <row r="50" spans="1:23" ht="19.5" customHeight="1">
      <c r="A50" s="374"/>
      <c r="B50" s="372"/>
      <c r="C50" s="125" t="s">
        <v>148</v>
      </c>
      <c r="D50" s="33">
        <v>0</v>
      </c>
      <c r="E50" s="33">
        <v>200</v>
      </c>
      <c r="F50" s="180">
        <v>30</v>
      </c>
      <c r="G50" s="185">
        <f t="shared" si="3"/>
        <v>0</v>
      </c>
      <c r="H50" s="377"/>
      <c r="I50" s="350"/>
      <c r="J50" s="180">
        <v>100</v>
      </c>
      <c r="K50" s="141">
        <v>36.363999999999997</v>
      </c>
      <c r="L50" s="146">
        <f t="shared" si="4"/>
        <v>0</v>
      </c>
      <c r="M50" s="347"/>
      <c r="N50" s="350"/>
      <c r="O50" s="353"/>
      <c r="P50" s="353" t="s">
        <v>59</v>
      </c>
      <c r="Q50" s="353"/>
      <c r="R50" s="147">
        <f t="shared" si="5"/>
        <v>0</v>
      </c>
      <c r="S50" s="347"/>
      <c r="T50" s="382"/>
      <c r="U50" s="353"/>
      <c r="V50" s="353"/>
      <c r="W50" s="353"/>
    </row>
    <row r="51" spans="1:23" ht="21.75" customHeight="1">
      <c r="A51" s="374"/>
      <c r="B51" s="371" t="s">
        <v>256</v>
      </c>
      <c r="C51" s="127" t="s">
        <v>149</v>
      </c>
      <c r="D51" s="31">
        <v>0</v>
      </c>
      <c r="E51" s="32">
        <v>61</v>
      </c>
      <c r="F51" s="180">
        <v>20</v>
      </c>
      <c r="G51" s="185">
        <f t="shared" si="3"/>
        <v>0</v>
      </c>
      <c r="H51" s="377"/>
      <c r="I51" s="350"/>
      <c r="J51" s="180">
        <v>22</v>
      </c>
      <c r="K51" s="141">
        <v>20.181999999999999</v>
      </c>
      <c r="L51" s="146">
        <f t="shared" si="4"/>
        <v>0</v>
      </c>
      <c r="M51" s="347"/>
      <c r="N51" s="350"/>
      <c r="O51" s="353"/>
      <c r="P51" s="353" t="s">
        <v>59</v>
      </c>
      <c r="Q51" s="353"/>
      <c r="R51" s="147">
        <f t="shared" si="5"/>
        <v>0</v>
      </c>
      <c r="S51" s="347"/>
      <c r="T51" s="382"/>
      <c r="U51" s="353"/>
      <c r="V51" s="353"/>
      <c r="W51" s="353"/>
    </row>
    <row r="52" spans="1:23" ht="27" customHeight="1">
      <c r="A52" s="374"/>
      <c r="B52" s="372"/>
      <c r="C52" s="128" t="s">
        <v>150</v>
      </c>
      <c r="D52" s="33">
        <v>0</v>
      </c>
      <c r="E52" s="33">
        <v>10</v>
      </c>
      <c r="F52" s="180">
        <v>10</v>
      </c>
      <c r="G52" s="185">
        <f t="shared" si="3"/>
        <v>0</v>
      </c>
      <c r="H52" s="377"/>
      <c r="I52" s="350"/>
      <c r="J52" s="180">
        <v>3</v>
      </c>
      <c r="K52" s="141">
        <v>9.3640000000000008</v>
      </c>
      <c r="L52" s="146">
        <f t="shared" si="4"/>
        <v>0</v>
      </c>
      <c r="M52" s="347"/>
      <c r="N52" s="350"/>
      <c r="O52" s="353"/>
      <c r="P52" s="353" t="s">
        <v>59</v>
      </c>
      <c r="Q52" s="353"/>
      <c r="R52" s="147">
        <f t="shared" si="5"/>
        <v>0</v>
      </c>
      <c r="S52" s="347"/>
      <c r="T52" s="382"/>
      <c r="U52" s="353"/>
      <c r="V52" s="353"/>
      <c r="W52" s="353"/>
    </row>
    <row r="53" spans="1:23" ht="40.5" customHeight="1" thickBot="1">
      <c r="A53" s="375"/>
      <c r="B53" s="106" t="s">
        <v>265</v>
      </c>
      <c r="C53" s="129" t="s">
        <v>266</v>
      </c>
      <c r="D53" s="245">
        <v>0</v>
      </c>
      <c r="E53" s="240">
        <v>5</v>
      </c>
      <c r="F53" s="181">
        <v>0</v>
      </c>
      <c r="G53" s="190">
        <f t="shared" si="3"/>
        <v>0</v>
      </c>
      <c r="H53" s="378"/>
      <c r="I53" s="351"/>
      <c r="J53" s="181">
        <v>4</v>
      </c>
      <c r="K53" s="190">
        <v>0.36399999999999999</v>
      </c>
      <c r="L53" s="176">
        <f t="shared" si="4"/>
        <v>0</v>
      </c>
      <c r="M53" s="348"/>
      <c r="N53" s="351"/>
      <c r="O53" s="354"/>
      <c r="P53" s="354" t="s">
        <v>59</v>
      </c>
      <c r="Q53" s="354"/>
      <c r="R53" s="176">
        <f t="shared" si="5"/>
        <v>0</v>
      </c>
      <c r="S53" s="348"/>
      <c r="T53" s="383"/>
      <c r="U53" s="354"/>
      <c r="V53" s="354"/>
      <c r="W53" s="354"/>
    </row>
    <row r="54" spans="1:23" ht="52.5" customHeight="1">
      <c r="A54" s="373" t="s">
        <v>85</v>
      </c>
      <c r="B54" s="110" t="s">
        <v>146</v>
      </c>
      <c r="C54" s="197" t="s">
        <v>25</v>
      </c>
      <c r="D54" s="243">
        <v>0</v>
      </c>
      <c r="E54" s="244">
        <v>0.15</v>
      </c>
      <c r="F54" s="198">
        <v>1</v>
      </c>
      <c r="G54" s="199">
        <f t="shared" si="3"/>
        <v>2</v>
      </c>
      <c r="H54" s="376">
        <f>AVERAGE(G54:G56)</f>
        <v>0.66666666666666663</v>
      </c>
      <c r="I54" s="349" t="str">
        <f>IF(H54&lt;=0.5,"Faible",IF(H54&lt;=1,"Moyenne","Forte"))</f>
        <v>Moyenne</v>
      </c>
      <c r="J54" s="198">
        <v>0.16</v>
      </c>
      <c r="K54" s="172">
        <v>0.92400000000000004</v>
      </c>
      <c r="L54" s="200">
        <f t="shared" si="4"/>
        <v>2</v>
      </c>
      <c r="M54" s="346">
        <f>AVERAGE(L53:L56)</f>
        <v>0.5</v>
      </c>
      <c r="N54" s="349" t="str">
        <f>IF(M54&lt;=0.5,"Faible",IF(M54&lt;=1,"Moyenne","Forte"))</f>
        <v>Faible</v>
      </c>
      <c r="O54" s="352" t="str">
        <f>IF(AND(N54="FORTE",I54="FORTE"),"FORTE",
 IF(AND(N54="FORTE",I54="MOYENNE"),"FORTE",
 IF(AND(N54="FORTE",I54="FAIBLE"),"MOYENNE",
 IF(AND(N54="MOYENNE",I54="FORTE"),"FORTE",
 IF(AND(N54="MOYENNE",I54="MOYENNE"),"MOYENNE",
 IF(AND(N54="MOYENNE",I54="FAIBLE"),"FAIBLE",
 IF(AND(N54="FAIBLE",I54="FORTE"),"MOYENNE",
 IF(AND(N54="FAIBLE",I54="MOYENNE"),"FAIBLE",
 IF(AND(N54="FAIBLE",I54="FAIBLE"),"FAIBLE","Erreur")))))))))</f>
        <v>FAIBLE</v>
      </c>
      <c r="P54" s="352" t="s">
        <v>59</v>
      </c>
      <c r="Q54" s="352">
        <f>IF(P54="Ponctuelle",0,
IF(P54="Locale",0.5,
IF(P54="Régionale",1.25,
IF(P54="Nationale",2,
""))))</f>
        <v>2</v>
      </c>
      <c r="R54" s="179">
        <f t="shared" si="5"/>
        <v>1</v>
      </c>
      <c r="S54" s="346">
        <f>AVERAGE(R54:R56)</f>
        <v>0.33333333333333331</v>
      </c>
      <c r="T54" s="352" t="str">
        <f>IF(S54&lt;=1,"FAIBLE",IF(S54=2,"MOYENNE","FORTE"))</f>
        <v>FAIBLE</v>
      </c>
      <c r="U54" s="352" t="str">
        <f>IF(O54="ABSOLUE","Inadmissible",
IF(O54="Forte",
    IF(T54="Forte",
        IF(OR(P54="Nationale",P54="Régionale",P54="Locale"),"Majeure","Moyenne"),
    IF(T54="Moyenne",
        IF(OR(P54="Nationale",P54="Régionale"),"Majeure","Moyenne"),
    IF(T54="Faible",
        IF(OR(P54="Nationale",P54="Régionale"),"Majeure","Mineure"),
    ""))),
IF(O54="Moyenne",
    IF(T54="Forte",
        IF(P54="Nationale","Majeure",
        IF(P54="Régionale","Moyenne","Moyenne")),
    IF(T54="Moyenne","Moyenne",
    IF(T54="Faible",
        IF(OR(P54="Nationale",P54="Régionale"),"Moyenne","Mineure"),
    ""))),
IF(O54="Faible",
    IF(T54="Forte",
        IF(OR(P54="Nationale",P54="Régionale"),"Moyenne","Mineure"),
    IF(T54="Moyenne","Mineure",
    "Mineure")),
IF(O54="Très Faible",
    IF(T54="Forte","Mineure",
    "Mineure à nulle"))))))</f>
        <v>Mineure</v>
      </c>
      <c r="V54" s="352" t="s">
        <v>221</v>
      </c>
      <c r="W54" s="352" t="str">
        <f>IF(OR(U54="Mineure",U54="Mineure à nulle"),"Mineure",
 IF(U54="Moyenne",
    IF(V54="Courte","Mineure","Moyenne"),
 IF(U54="Majeure",
    IF(V54="Courte","Moyenne","Majeure"),
 "")))</f>
        <v>Mineure</v>
      </c>
    </row>
    <row r="55" spans="1:23" ht="70.5" customHeight="1">
      <c r="A55" s="374"/>
      <c r="B55" s="106" t="s">
        <v>145</v>
      </c>
      <c r="C55" s="129" t="s">
        <v>151</v>
      </c>
      <c r="D55" s="241">
        <v>0</v>
      </c>
      <c r="E55" s="242">
        <v>2</v>
      </c>
      <c r="F55" s="181">
        <v>1</v>
      </c>
      <c r="G55" s="181">
        <f t="shared" si="3"/>
        <v>0</v>
      </c>
      <c r="H55" s="377"/>
      <c r="I55" s="350"/>
      <c r="J55" s="181">
        <v>1</v>
      </c>
      <c r="K55" s="177">
        <v>1</v>
      </c>
      <c r="L55" s="176">
        <f t="shared" si="4"/>
        <v>0</v>
      </c>
      <c r="M55" s="347"/>
      <c r="N55" s="350"/>
      <c r="O55" s="353"/>
      <c r="P55" s="353"/>
      <c r="Q55" s="353"/>
      <c r="R55" s="182">
        <f t="shared" si="5"/>
        <v>0</v>
      </c>
      <c r="S55" s="347"/>
      <c r="T55" s="353"/>
      <c r="U55" s="353"/>
      <c r="V55" s="353"/>
      <c r="W55" s="353"/>
    </row>
    <row r="56" spans="1:23" ht="56.25" customHeight="1" thickBot="1">
      <c r="A56" s="375"/>
      <c r="B56" s="119" t="s">
        <v>226</v>
      </c>
      <c r="C56" s="130" t="s">
        <v>228</v>
      </c>
      <c r="D56" s="245">
        <v>0</v>
      </c>
      <c r="E56" s="240">
        <v>2</v>
      </c>
      <c r="F56" s="154">
        <v>0</v>
      </c>
      <c r="G56" s="154">
        <f t="shared" si="3"/>
        <v>0</v>
      </c>
      <c r="H56" s="378"/>
      <c r="I56" s="351"/>
      <c r="J56" s="154">
        <v>2</v>
      </c>
      <c r="K56" s="183">
        <v>0.182</v>
      </c>
      <c r="L56" s="154">
        <f t="shared" si="4"/>
        <v>0</v>
      </c>
      <c r="M56" s="348"/>
      <c r="N56" s="351"/>
      <c r="O56" s="354"/>
      <c r="P56" s="354"/>
      <c r="Q56" s="354"/>
      <c r="R56" s="154">
        <f t="shared" si="5"/>
        <v>0</v>
      </c>
      <c r="S56" s="348"/>
      <c r="T56" s="354"/>
      <c r="U56" s="354"/>
      <c r="V56" s="354"/>
      <c r="W56" s="354"/>
    </row>
    <row r="57" spans="1:23" ht="38.25" customHeight="1" thickBot="1">
      <c r="A57" s="188" t="s">
        <v>207</v>
      </c>
      <c r="B57" s="294" t="s">
        <v>207</v>
      </c>
      <c r="C57" s="295" t="s">
        <v>229</v>
      </c>
      <c r="D57" s="296">
        <v>0</v>
      </c>
      <c r="E57" s="297">
        <v>90</v>
      </c>
      <c r="F57" s="268"/>
      <c r="G57" s="268"/>
      <c r="H57" s="268"/>
      <c r="I57" s="268"/>
      <c r="J57" s="298">
        <v>89</v>
      </c>
      <c r="K57" s="268">
        <v>8.0909999999999993</v>
      </c>
      <c r="L57" s="298">
        <f>IF(AND(K57&gt;=D57,K57&lt;=E57),0,IF(AND(K57&gt;=D57*0.8,K57&lt;=E57*1.2),1,2))</f>
        <v>0</v>
      </c>
      <c r="M57" s="301">
        <f>L57</f>
        <v>0</v>
      </c>
      <c r="N57" s="302" t="str">
        <f>IF(M57&lt;=0.5,"Faible",IF(M57&lt;=1,"Moyenne","Forte"))</f>
        <v>Faible</v>
      </c>
      <c r="O57" s="300" t="str">
        <f>N57</f>
        <v>Faible</v>
      </c>
      <c r="P57" s="300" t="s">
        <v>59</v>
      </c>
      <c r="Q57" s="300">
        <f>IF(P57="Ponctuelle",0,
IF(P57="Locale",0.5,
IF(P57="Régionale",1.25,
IF(P57="Nationale",2,
""))))</f>
        <v>2</v>
      </c>
      <c r="R57" s="298"/>
      <c r="S57" s="301">
        <f>R57</f>
        <v>0</v>
      </c>
      <c r="T57" s="300" t="str">
        <f>IF(S57&lt;=1,"FAIBLE",IF(S57=2,"MOYENNE","FORTE"))</f>
        <v>FAIBLE</v>
      </c>
      <c r="U57" s="300" t="str">
        <f>IF(O57="ABSOLUE","Inadmissible",
IF(O57="Forte",
    IF(T57="Forte",
        IF(OR(P57="Nationale",P57="Régionale",P57="Locale"),"Majeure","Moyenne"),
    IF(T57="Moyenne",
        IF(OR(P57="Nationale",P57="Régionale"),"Majeure","Moyenne"),
    IF(T57="Faible",
        IF(OR(P57="Nationale",P57="Régionale"),"Majeure","Mineure"),
    ""))),
IF(O57="Moyenne",
    IF(T57="Forte",
        IF(P57="Nationale","Majeure",
        IF(P57="Régionale","Moyenne","Moyenne")),
    IF(T57="Moyenne","Moyenne",
    IF(T57="Faible",
        IF(OR(P57="Nationale",P57="Régionale"),"Moyenne","Mineure"),
    ""))),
IF(O57="Faible",
    IF(T57="Forte",
        IF(OR(P57="Nationale",P57="Régionale"),"Moyenne","Mineure"),
    IF(T57="Moyenne","Mineure",
    "Mineure")),
IF(O57="Très Faible",
    IF(T57="Forte","Mineure",
    "Mineure à nulle"))))))</f>
        <v>Mineure</v>
      </c>
      <c r="V57" s="300" t="s">
        <v>220</v>
      </c>
      <c r="W57" s="196" t="str">
        <f>IF(OR(U57="Mineure",U57="Mineure à nulle"),"Mineure",
 IF(U57="Moyenne",
    IF(V57="Courte","Mineure","Moyenne"),
 IF(U57="Majeure",
    IF(V57="Courte","Moyenne","Majeure"),
 "")))</f>
        <v>Mineure</v>
      </c>
    </row>
    <row r="58" spans="1:23" ht="36.5" thickBot="1">
      <c r="A58" s="189" t="s">
        <v>225</v>
      </c>
      <c r="B58" s="201" t="s">
        <v>225</v>
      </c>
      <c r="C58" s="290" t="s">
        <v>227</v>
      </c>
      <c r="D58" s="291">
        <v>0</v>
      </c>
      <c r="E58" s="292">
        <v>5</v>
      </c>
      <c r="F58" s="194"/>
      <c r="G58" s="194"/>
      <c r="H58" s="194"/>
      <c r="I58" s="194"/>
      <c r="J58" s="169">
        <v>8</v>
      </c>
      <c r="K58" s="169">
        <v>0.72699999999999998</v>
      </c>
      <c r="L58" s="298">
        <f>IF(AND(K58&gt;=D58,K58&lt;=E58),0,IF(AND(K58&gt;=D58*0.8,K58&lt;=E58*1.2),1,2))</f>
        <v>0</v>
      </c>
      <c r="M58" s="191">
        <f>L58</f>
        <v>0</v>
      </c>
      <c r="N58" s="187" t="str">
        <f>IF(M58&lt;=0.5,"Faible",IF(M58&lt;=1,"Moyenne","Forte"))</f>
        <v>Faible</v>
      </c>
      <c r="O58" s="193" t="str">
        <f>N58</f>
        <v>Faible</v>
      </c>
      <c r="P58" s="193" t="s">
        <v>59</v>
      </c>
      <c r="Q58" s="193">
        <f>IF(P58="Ponctuelle",0,
IF(P58="Locale",0.5,
IF(P58="Régionale",1.25,
IF(P58="Nationale",2,
""))))</f>
        <v>2</v>
      </c>
      <c r="R58" s="169">
        <f>IF(J58&gt;=5, 0, IF(AND(J58&gt;=4, J58&lt;=4), 1, 2))</f>
        <v>0</v>
      </c>
      <c r="S58" s="191">
        <f>R58</f>
        <v>0</v>
      </c>
      <c r="T58" s="193" t="str">
        <f t="shared" ref="T58" si="6">IF(S58&lt;=1,"FAIBLE",IF(S58=2,"MOYENNE","FORTE"))</f>
        <v>FAIBLE</v>
      </c>
      <c r="U58" s="193" t="str">
        <f>IF(O58="ABSOLUE","Inadmissible",
IF(O58="Forte",
    IF(T58="Forte",
        IF(OR(P58="Nationale",P58="Régionale",P58="Locale"),"Majeure","Moyenne"),
    IF(T58="Moyenne",
        IF(OR(P58="Nationale",P58="Régionale"),"Majeure","Moyenne"),
    IF(T58="Faible",
        IF(OR(P58="Nationale",P58="Régionale"),"Majeure","Mineure"),
    ""))),
IF(O58="Moyenne",
    IF(T58="Forte",
        IF(P58="Nationale","Majeure",
        IF(P58="Régionale","Moyenne","Moyenne")),
    IF(T58="Moyenne","Moyenne",
    IF(T58="Faible",
        IF(OR(P58="Nationale",P58="Régionale"),"Moyenne","Mineure"),
    ""))),
IF(O58="Faible",
    IF(T58="Forte",
        IF(OR(P58="Nationale",P58="Régionale"),"Moyenne","Mineure"),
    IF(T58="Moyenne","Mineure",
    "Mineure")),
IF(O58="Très Faible",
    IF(T58="Forte","Mineure",
    "Mineure à nulle"))))))</f>
        <v>Mineure</v>
      </c>
      <c r="V58" s="193" t="s">
        <v>220</v>
      </c>
      <c r="W58" s="222" t="str">
        <f>IF(OR(L58=0, L58=1), "Impact positif", "Autre impact")</f>
        <v>Impact positif</v>
      </c>
    </row>
    <row r="59" spans="1:23">
      <c r="U59" s="192"/>
    </row>
    <row r="60" spans="1:23" ht="31">
      <c r="D60" s="21"/>
      <c r="E60" s="209"/>
      <c r="F60" s="210"/>
      <c r="G60" s="345" t="s">
        <v>91</v>
      </c>
      <c r="H60" s="218" t="s">
        <v>116</v>
      </c>
      <c r="I60" s="345" t="s">
        <v>101</v>
      </c>
      <c r="J60" s="218" t="s">
        <v>47</v>
      </c>
      <c r="K60" s="540" t="s">
        <v>245</v>
      </c>
      <c r="L60" s="219" t="s">
        <v>47</v>
      </c>
      <c r="M60" s="219" t="s">
        <v>246</v>
      </c>
      <c r="N60" s="220" t="s">
        <v>222</v>
      </c>
    </row>
    <row r="61" spans="1:23" ht="73.5" customHeight="1">
      <c r="D61" s="355" t="s">
        <v>247</v>
      </c>
      <c r="E61" s="356"/>
      <c r="F61" s="211" t="s">
        <v>248</v>
      </c>
      <c r="G61" s="211" t="s">
        <v>114</v>
      </c>
      <c r="H61" s="211">
        <f>IF(G61="Aucune présence",0,IF(G61="Présence potentielle",1,IF(G61="Présence occasionnelle",2,IF(G61="Présence régulière",3,IF(G61="Présence permanente",4,"")))))</f>
        <v>4</v>
      </c>
      <c r="I61" s="211" t="s">
        <v>102</v>
      </c>
      <c r="J61" s="211">
        <f>IF(I61="Aucune protection",0,IF(I61="niveau local ou régional",1,IF(I61="niveau national (loi marocaine par ex.)",2,IF(I61="Espèce inscrite sur la Liste rouge UICN (Préoccupation mineure à vulnérable)",3,IF(I61="Espèce inscrite Liste rouge UICN (En danger / En danger critique)",4,"")))))</f>
        <v>0</v>
      </c>
      <c r="K61" s="211" t="s">
        <v>95</v>
      </c>
      <c r="L61" s="211">
        <f>IF(K61="Aucune espèce protégée",0,IF(K61="Espèce peu menacée ou rare",1,IF(K61="Espèce vulnérable",2,IF(K61="Espèce en danger / endémique",3,IF(K61="Espèce en danger critique",4,IF(K61="Espèce protégée + reproduction",5,""))))))</f>
        <v>1</v>
      </c>
      <c r="M61" s="211">
        <f>L61+J61+H61</f>
        <v>5</v>
      </c>
      <c r="N61" s="212" t="str">
        <f>IF(M61&lt;=6,"Mineure",IF(M61&lt;=12,"Moyenne",IF(M61&lt;=18,"Majeure","Très grave")))</f>
        <v>Mineure</v>
      </c>
    </row>
    <row r="62" spans="1:23" ht="55.5" customHeight="1">
      <c r="D62" s="357"/>
      <c r="E62" s="358"/>
      <c r="F62" s="211" t="s">
        <v>249</v>
      </c>
      <c r="G62" s="211" t="s">
        <v>108</v>
      </c>
      <c r="H62" s="211">
        <f t="shared" ref="H62:H65" si="7">IF(G62="Aucune présence",0,IF(G62="Présence potentielle",1,IF(G62="Présence occasionnelle",2,IF(G62="Présence régulière",3,IF(G62="Présence permanente",4,"")))))</f>
        <v>1</v>
      </c>
      <c r="I62" s="211" t="s">
        <v>102</v>
      </c>
      <c r="J62" s="211">
        <f>IF(I62="Aucune protection",0,IF(I62="niveau local ou régional",1,IF(I62="niveau national (loi marocaine par ex.)",2,IF(I62="Espèce inscrite sur la Liste rouge UICN (Préoccupation mineure à vulnérable)",3,IF(I62="Espèce inscrite Liste rouge UICN (En danger / En danger critique)",4,"")))))</f>
        <v>0</v>
      </c>
      <c r="K62" s="211" t="s">
        <v>95</v>
      </c>
      <c r="L62" s="211">
        <f>IF(K62="Aucune espèce protégée",0,IF(K62="Espèce peu menacée ou rare",1,IF(K62="Espèce vulnérable",2,IF(K62="Espèce en danger / endémique",3,IF(K62="Espèce en danger critique",4,IF(K62="Espèce protégée + reproduction",5,""))))))</f>
        <v>1</v>
      </c>
      <c r="M62" s="211">
        <f>L62+J62+H62</f>
        <v>2</v>
      </c>
      <c r="N62" s="212" t="str">
        <f>IF(M62&lt;=6,"Mineure",IF(M62&lt;=12,"Moyenne",IF(M62&lt;=18,"Majeure","Très grave")))</f>
        <v>Mineure</v>
      </c>
    </row>
    <row r="63" spans="1:23" ht="57" customHeight="1">
      <c r="D63" s="365" t="s">
        <v>250</v>
      </c>
      <c r="E63" s="366"/>
      <c r="F63" s="213" t="s">
        <v>251</v>
      </c>
      <c r="G63" s="214" t="s">
        <v>108</v>
      </c>
      <c r="H63" s="214">
        <f t="shared" si="7"/>
        <v>1</v>
      </c>
      <c r="I63" s="214" t="s">
        <v>102</v>
      </c>
      <c r="J63" s="214">
        <f>IF(I63="Aucune protection",0,IF(I63="niveau local ou régional",1,IF(I63="niveau national (loi marocaine par ex.)",2,IF(I63="Espèce inscrite sur la Liste rouge UICN (Préoccupation mineure à vulnérable)",3,IF(I63="Espèce inscrite Liste rouge UICN (En danger / En danger critique)",4,"")))))</f>
        <v>0</v>
      </c>
      <c r="K63" s="214" t="s">
        <v>96</v>
      </c>
      <c r="L63" s="214">
        <f>IF(K63="Aucune espèce protégée",0,IF(K63="Espèce peu menacée ou rare",1,IF(K63="Espèce vulnérable",2,IF(K63="Espèce en danger / endémique",3,IF(K63="Espèce en danger critique",4,IF(K63="Espèce protégée + reproduction",5,""))))))</f>
        <v>2</v>
      </c>
      <c r="M63" s="215">
        <f>L63+J63+H63</f>
        <v>3</v>
      </c>
      <c r="N63" s="216" t="str">
        <f>IF(M63&lt;=6,"Faible",IF(M63&lt;=12,"Moyenne",IF(M63&lt;=18,"Grave","Très grave")))</f>
        <v>Faible</v>
      </c>
      <c r="O63" s="359">
        <f>AVERAGE(M63:M65)</f>
        <v>1.3333333333333333</v>
      </c>
      <c r="P63" s="359" t="str">
        <f>IF(O63&lt;=3,"Mineure",IF(O63&lt;=6,"Moyenne","Majeure"))</f>
        <v>Mineure</v>
      </c>
    </row>
    <row r="64" spans="1:23" ht="60" customHeight="1">
      <c r="D64" s="367"/>
      <c r="E64" s="368"/>
      <c r="F64" s="217" t="s">
        <v>252</v>
      </c>
      <c r="G64" s="214" t="s">
        <v>108</v>
      </c>
      <c r="H64" s="214">
        <f t="shared" si="7"/>
        <v>1</v>
      </c>
      <c r="I64" s="214" t="s">
        <v>102</v>
      </c>
      <c r="J64" s="214">
        <f>IF(I64="Aucune protection",0,IF(I64="niveau local ou régional",1,IF(I64="niveau national (loi marocaine par ex.)",2,IF(I64="Espèce inscrite sur la Liste rouge UICN (Préoccupation mineure à vulnérable)",3,IF(I64="Espèce inscrite Liste rouge UICN (En danger / En danger critique)",4,"")))))</f>
        <v>0</v>
      </c>
      <c r="K64" s="214" t="s">
        <v>94</v>
      </c>
      <c r="L64" s="214">
        <f>IF(K64="Aucune espèce protégée",0,IF(K64="Espèce peu menacée ou rare",1,IF(K64="Espèce vulnérable",2,IF(K64="Espèce en danger / endémique",3,IF(K64="Espèce en danger critique",4,IF(K64="Espèce protégée + reproduction",5,""))))))</f>
        <v>0</v>
      </c>
      <c r="M64" s="215">
        <f>L64+J64+H64</f>
        <v>1</v>
      </c>
      <c r="N64" s="216" t="str">
        <f t="shared" ref="N64:N65" si="8">IF(M64&lt;=6,"Faible",IF(M64&lt;=12,"Moyenne",IF(M64&lt;=18,"Grave","Très grave")))</f>
        <v>Faible</v>
      </c>
      <c r="O64" s="353"/>
      <c r="P64" s="353"/>
    </row>
    <row r="65" spans="4:16" ht="69.75" customHeight="1">
      <c r="D65" s="369"/>
      <c r="E65" s="370"/>
      <c r="F65" s="214" t="s">
        <v>253</v>
      </c>
      <c r="G65" s="214" t="s">
        <v>106</v>
      </c>
      <c r="H65" s="214">
        <f t="shared" si="7"/>
        <v>0</v>
      </c>
      <c r="I65" s="214" t="s">
        <v>102</v>
      </c>
      <c r="J65" s="214">
        <f>IF(I65="Aucune protection",0,IF(I65="niveau local ou régional",1,IF(I65="niveau national (loi marocaine par ex.)",2,IF(I65="Espèce inscrite sur la Liste rouge UICN (Préoccupation mineure à vulnérable)",3,IF(I65="Espèce inscrite Liste rouge UICN (En danger / En danger critique)",4,"")))))</f>
        <v>0</v>
      </c>
      <c r="K65" s="214" t="s">
        <v>94</v>
      </c>
      <c r="L65" s="214">
        <f>IF(K65="Aucune espèce protégée",0,IF(K65="Espèce peu menacée ou rare",1,IF(K65="Espèce vulnérable",2,IF(K65="Espèce en danger / endémique",3,IF(K65="Espèce en danger critique",4,IF(K65="Espèce protégée + reproduction",5,""))))))</f>
        <v>0</v>
      </c>
      <c r="M65" s="215">
        <f>L65+J65+H65</f>
        <v>0</v>
      </c>
      <c r="N65" s="216" t="str">
        <f t="shared" si="8"/>
        <v>Faible</v>
      </c>
      <c r="O65" s="360"/>
      <c r="P65" s="360"/>
    </row>
  </sheetData>
  <mergeCells count="88">
    <mergeCell ref="D61:E62"/>
    <mergeCell ref="D63:E65"/>
    <mergeCell ref="O63:O65"/>
    <mergeCell ref="P63:P65"/>
    <mergeCell ref="I40:I46"/>
    <mergeCell ref="N40:N46"/>
    <mergeCell ref="O40:O46"/>
    <mergeCell ref="P40:P46"/>
    <mergeCell ref="M47:M53"/>
    <mergeCell ref="Q40:Q46"/>
    <mergeCell ref="W2:W22"/>
    <mergeCell ref="T2:T22"/>
    <mergeCell ref="U2:U22"/>
    <mergeCell ref="V2:V22"/>
    <mergeCell ref="V23:V36"/>
    <mergeCell ref="W23:W36"/>
    <mergeCell ref="T23:T36"/>
    <mergeCell ref="U23:U36"/>
    <mergeCell ref="T37:T38"/>
    <mergeCell ref="U37:U38"/>
    <mergeCell ref="V37:V38"/>
    <mergeCell ref="W37:W38"/>
    <mergeCell ref="G1:H1"/>
    <mergeCell ref="R1:S1"/>
    <mergeCell ref="A2:A22"/>
    <mergeCell ref="H2:H22"/>
    <mergeCell ref="I2:I22"/>
    <mergeCell ref="M2:M22"/>
    <mergeCell ref="N2:N22"/>
    <mergeCell ref="O2:O22"/>
    <mergeCell ref="P2:P22"/>
    <mergeCell ref="Q2:Q22"/>
    <mergeCell ref="S2:S22"/>
    <mergeCell ref="A23:A36"/>
    <mergeCell ref="O23:O36"/>
    <mergeCell ref="P23:P36"/>
    <mergeCell ref="Q23:Q36"/>
    <mergeCell ref="S23:S36"/>
    <mergeCell ref="H23:H36"/>
    <mergeCell ref="I23:I36"/>
    <mergeCell ref="M23:M36"/>
    <mergeCell ref="N23:N36"/>
    <mergeCell ref="I37:I38"/>
    <mergeCell ref="N37:N38"/>
    <mergeCell ref="O37:O38"/>
    <mergeCell ref="P37:P38"/>
    <mergeCell ref="Q37:Q38"/>
    <mergeCell ref="T54:T56"/>
    <mergeCell ref="U54:U56"/>
    <mergeCell ref="V54:V56"/>
    <mergeCell ref="W54:W56"/>
    <mergeCell ref="T40:T46"/>
    <mergeCell ref="U40:U46"/>
    <mergeCell ref="V40:V46"/>
    <mergeCell ref="W40:W46"/>
    <mergeCell ref="T47:T53"/>
    <mergeCell ref="U47:U53"/>
    <mergeCell ref="V47:V53"/>
    <mergeCell ref="W47:W53"/>
    <mergeCell ref="S47:S53"/>
    <mergeCell ref="B49:B50"/>
    <mergeCell ref="B51:B52"/>
    <mergeCell ref="Q54:Q56"/>
    <mergeCell ref="I47:I53"/>
    <mergeCell ref="N47:N53"/>
    <mergeCell ref="O47:O53"/>
    <mergeCell ref="P47:P53"/>
    <mergeCell ref="Q47:Q53"/>
    <mergeCell ref="I54:I56"/>
    <mergeCell ref="N54:N56"/>
    <mergeCell ref="O54:O56"/>
    <mergeCell ref="P54:P56"/>
    <mergeCell ref="A54:A56"/>
    <mergeCell ref="H54:H56"/>
    <mergeCell ref="M54:M56"/>
    <mergeCell ref="S54:S56"/>
    <mergeCell ref="A37:B38"/>
    <mergeCell ref="C37:C38"/>
    <mergeCell ref="H37:H38"/>
    <mergeCell ref="M37:M38"/>
    <mergeCell ref="S37:S38"/>
    <mergeCell ref="A40:A46"/>
    <mergeCell ref="H40:H46"/>
    <mergeCell ref="M40:M46"/>
    <mergeCell ref="S40:S46"/>
    <mergeCell ref="A47:A53"/>
    <mergeCell ref="B47:B48"/>
    <mergeCell ref="H47:H53"/>
  </mergeCells>
  <conditionalFormatting sqref="W57 W2 W40:W54 W23:W37">
    <cfRule type="expression" dxfId="44" priority="11">
      <formula>OR($W2="Majeure")</formula>
    </cfRule>
    <cfRule type="expression" dxfId="43" priority="12">
      <formula>OR($W2="Moyenne")</formula>
    </cfRule>
    <cfRule type="expression" dxfId="42" priority="13">
      <formula>OR($W2="Mineure")</formula>
    </cfRule>
  </conditionalFormatting>
  <conditionalFormatting sqref="W54 W57 W37">
    <cfRule type="expression" dxfId="41" priority="10">
      <formula>OR($W37="Mineure")</formula>
    </cfRule>
  </conditionalFormatting>
  <conditionalFormatting sqref="W58">
    <cfRule type="expression" dxfId="40" priority="9">
      <formula>OR($W58="Impact positif")</formula>
    </cfRule>
  </conditionalFormatting>
  <conditionalFormatting sqref="W39">
    <cfRule type="expression" dxfId="39" priority="7">
      <formula>OR($W39="Mineure")</formula>
    </cfRule>
    <cfRule type="expression" dxfId="38" priority="8">
      <formula>OR($W39="Impact positif")</formula>
    </cfRule>
  </conditionalFormatting>
  <conditionalFormatting sqref="P63:P65">
    <cfRule type="expression" dxfId="37" priority="4">
      <formula>OR($P63="Majeure")</formula>
    </cfRule>
    <cfRule type="expression" dxfId="36" priority="5">
      <formula>OR($P63="Moyenne")</formula>
    </cfRule>
    <cfRule type="expression" dxfId="35" priority="6">
      <formula>OR($P63="Mineure")</formula>
    </cfRule>
  </conditionalFormatting>
  <conditionalFormatting sqref="N61:N62">
    <cfRule type="expression" dxfId="34" priority="1">
      <formula>OR($N61="Moyenne")</formula>
    </cfRule>
    <cfRule type="expression" dxfId="33" priority="2">
      <formula>OR($N61="Mineure")</formula>
    </cfRule>
    <cfRule type="expression" dxfId="32" priority="3">
      <formula>OR($N61="Majeure")</formula>
    </cfRule>
  </conditionalFormatting>
  <dataValidations count="6">
    <dataValidation type="list" allowBlank="1" showInputMessage="1" showErrorMessage="1" sqref="P57:P58 P40:P54 P2 P23:P37" xr:uid="{00000000-0002-0000-0100-000000000000}">
      <formula1>"Ponctuelle,Locale,Régionale,Nationale"</formula1>
    </dataValidation>
    <dataValidation type="list" allowBlank="1" showInputMessage="1" showErrorMessage="1" sqref="V57:V58 V23:V37 V40:V54" xr:uid="{00000000-0002-0000-0100-000001000000}">
      <formula1>"courte,moyenne,longue"</formula1>
    </dataValidation>
    <dataValidation type="list" allowBlank="1" showInputMessage="1" showErrorMessage="1" sqref="V2" xr:uid="{00000000-0002-0000-0100-000002000000}">
      <formula1>"Courte,Moyenne,Longue"</formula1>
    </dataValidation>
    <dataValidation type="list" allowBlank="1" showInputMessage="1" showErrorMessage="1" sqref="K61:K65" xr:uid="{00000000-0002-0000-0100-000003000000}">
      <formula1>"Aucune espèce protégée, Espèce peu menacée ou rare, Espèce vulnérable, Espèce en danger / endémique, Espèce en danger critique, Espèce protégée + reproduction"</formula1>
    </dataValidation>
    <dataValidation type="list" allowBlank="1" showInputMessage="1" showErrorMessage="1" sqref="I61:I65" xr:uid="{00000000-0002-0000-0100-000004000000}">
      <formula1>"Aucune protection, niveau local ou régional, niveau national (loi marocaine par ex.), Espèce inscrite sur la Liste rouge UICN (Préoccupation mineure à vulnérable), Espèce inscrite Liste rouge UICN (En danger / En danger critique)"</formula1>
    </dataValidation>
    <dataValidation type="list" allowBlank="1" showInputMessage="1" showErrorMessage="1" sqref="G61:G65" xr:uid="{00000000-0002-0000-0100-000005000000}">
      <formula1>"Aucune présence, Présence potentielle, Présence occasionnelle, Présence régulière, Présence permanente"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alculerResultatSimple">
                <anchor moveWithCells="1" sizeWithCells="1">
                  <from>
                    <xdr:col>10</xdr:col>
                    <xdr:colOff>838200</xdr:colOff>
                    <xdr:row>1</xdr:row>
                    <xdr:rowOff>190500</xdr:rowOff>
                  </from>
                  <to>
                    <xdr:col>10</xdr:col>
                    <xdr:colOff>1714500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AG261"/>
  <sheetViews>
    <sheetView zoomScale="30" zoomScaleNormal="30" workbookViewId="0">
      <pane ySplit="1" topLeftCell="A49" activePane="bottomLeft" state="frozen"/>
      <selection activeCell="C61" sqref="C61"/>
      <selection pane="bottomLeft" activeCell="P61" sqref="P61"/>
    </sheetView>
  </sheetViews>
  <sheetFormatPr defaultColWidth="11.54296875" defaultRowHeight="14.5"/>
  <cols>
    <col min="1" max="1" width="39.1796875" customWidth="1"/>
    <col min="2" max="2" width="29.1796875" customWidth="1"/>
    <col min="3" max="4" width="22.7265625" customWidth="1"/>
    <col min="5" max="5" width="16.7265625" style="16" customWidth="1"/>
    <col min="6" max="6" width="23.7265625" customWidth="1"/>
    <col min="7" max="7" width="17.81640625" customWidth="1"/>
    <col min="8" max="8" width="17" style="35" customWidth="1"/>
    <col min="9" max="9" width="22.26953125" customWidth="1"/>
    <col min="10" max="10" width="19.54296875" customWidth="1"/>
    <col min="11" max="11" width="25.81640625" customWidth="1"/>
    <col min="12" max="12" width="16" customWidth="1"/>
    <col min="13" max="13" width="22.1796875" customWidth="1"/>
    <col min="14" max="14" width="22.453125" customWidth="1"/>
    <col min="15" max="15" width="19.81640625" customWidth="1"/>
    <col min="16" max="17" width="19.26953125" customWidth="1"/>
    <col min="18" max="19" width="11.54296875" style="22" customWidth="1"/>
    <col min="20" max="20" width="20.81640625" style="22" customWidth="1"/>
    <col min="21" max="21" width="26.1796875" customWidth="1"/>
    <col min="22" max="22" width="19.81640625" customWidth="1"/>
    <col min="23" max="23" width="30" customWidth="1"/>
  </cols>
  <sheetData>
    <row r="1" spans="1:33" s="30" customFormat="1" ht="115.5" customHeight="1" thickBot="1">
      <c r="A1" s="271" t="s">
        <v>244</v>
      </c>
      <c r="B1" s="272" t="s">
        <v>0</v>
      </c>
      <c r="C1" s="273" t="s">
        <v>1</v>
      </c>
      <c r="D1" s="136" t="s">
        <v>274</v>
      </c>
      <c r="E1" s="136" t="s">
        <v>275</v>
      </c>
      <c r="F1" s="344" t="s">
        <v>119</v>
      </c>
      <c r="G1" s="402" t="s">
        <v>116</v>
      </c>
      <c r="H1" s="403"/>
      <c r="I1" s="272" t="s">
        <v>152</v>
      </c>
      <c r="J1" s="344" t="s">
        <v>243</v>
      </c>
      <c r="K1" s="274" t="s">
        <v>156</v>
      </c>
      <c r="L1" s="272" t="s">
        <v>116</v>
      </c>
      <c r="M1" s="275" t="s">
        <v>125</v>
      </c>
      <c r="N1" s="275" t="s">
        <v>155</v>
      </c>
      <c r="O1" s="272" t="s">
        <v>153</v>
      </c>
      <c r="P1" s="344" t="s">
        <v>63</v>
      </c>
      <c r="Q1" s="276" t="s">
        <v>213</v>
      </c>
      <c r="R1" s="404" t="s">
        <v>157</v>
      </c>
      <c r="S1" s="405"/>
      <c r="T1" s="272" t="s">
        <v>154</v>
      </c>
      <c r="U1" s="272" t="s">
        <v>222</v>
      </c>
      <c r="V1" s="344" t="s">
        <v>52</v>
      </c>
      <c r="W1" s="272" t="s">
        <v>224</v>
      </c>
      <c r="X1" s="202" t="s">
        <v>189</v>
      </c>
      <c r="Y1" s="108" t="s">
        <v>163</v>
      </c>
      <c r="Z1" s="108" t="s">
        <v>190</v>
      </c>
      <c r="AA1" s="109" t="s">
        <v>191</v>
      </c>
      <c r="AB1" s="108" t="s">
        <v>192</v>
      </c>
      <c r="AC1" s="107" t="s">
        <v>189</v>
      </c>
      <c r="AD1" s="108" t="s">
        <v>163</v>
      </c>
      <c r="AE1" s="108" t="s">
        <v>190</v>
      </c>
      <c r="AF1" s="109" t="s">
        <v>191</v>
      </c>
      <c r="AG1" s="108" t="s">
        <v>192</v>
      </c>
    </row>
    <row r="2" spans="1:33" ht="29.25" customHeight="1" thickTop="1">
      <c r="A2" s="396" t="s">
        <v>33</v>
      </c>
      <c r="B2" s="138" t="s">
        <v>223</v>
      </c>
      <c r="C2" s="139" t="s">
        <v>2</v>
      </c>
      <c r="D2" s="232">
        <v>10</v>
      </c>
      <c r="E2" s="233">
        <v>30</v>
      </c>
      <c r="F2" s="151">
        <v>19</v>
      </c>
      <c r="G2">
        <f>IF(AND(F2&gt;=D2,F2&lt;=E2),0,
 IF(AND(F2&gt;=D2*0.8,F2&lt;=E2*1.2),1,
 2))</f>
        <v>0</v>
      </c>
      <c r="H2" s="399">
        <f>AVERAGE(G2:G22)</f>
        <v>1.3333333333333333</v>
      </c>
      <c r="I2" s="361" t="str">
        <f>IF(H2&lt;=0.5,"Faible",IF(H2&lt;=1,"Moyenne","Forte"))</f>
        <v>Forte</v>
      </c>
      <c r="J2" s="141">
        <v>40</v>
      </c>
      <c r="K2" s="141">
        <v>20.908999999999999</v>
      </c>
      <c r="L2" s="142">
        <f>IF(AND(K3&gt;=D3,K3&lt;=E3),0,
 IF(AND(K3&gt;=D3*0.8,K3&lt;=E3*1.2),1,
 2))</f>
        <v>0</v>
      </c>
      <c r="M2" s="384">
        <f>AVERAGE(L2:L21)</f>
        <v>1.5</v>
      </c>
      <c r="N2" s="361" t="str">
        <f>IF(M2&lt;=0.5,"Faible",IF(M2&lt;=1,"Moyenne","Forte"))</f>
        <v>Forte</v>
      </c>
      <c r="O2" s="361" t="str">
        <f>IF(AND(N2="FORTE",I2="FORTE"),"FORTE",
 IF(AND(N2="FORTE",I2="MOYENNE"),"FORTE",
 IF(AND(N2="FORTE",I2="FAIBLE"),"MOYENNE",
 IF(AND(N2="MOYENNE",I2="FORTE"),"FORTE",
 IF(AND(N2="MOYENNE",I2="MOYENNE"),"MOYENNE",
 IF(AND(N2="MOYENNE",I2="FAIBLE"),"FAIBLE",
 IF(AND(N2="FAIBLE",I2="FORTE"),"MOYENNE",
 IF(AND(N2="FAIBLE",I2="MOYENNE"),"FAIBLE",
 IF(AND(N2="FAIBLE",I2="FAIBLE"),"FAIBLE","Erreur")))))))))</f>
        <v>FORTE</v>
      </c>
      <c r="P2" s="361" t="s">
        <v>58</v>
      </c>
      <c r="Q2" s="361">
        <f>IF(P2="Ponctuelle",0,
IF(P2="Locale",0.5,
IF(P2="Régionale",1.25,
IF(P2="Nationale",2,
""))))</f>
        <v>1.25</v>
      </c>
      <c r="R2" s="143">
        <f t="shared" ref="R2:R38" si="0">IF(AND(J2&gt;=D2,J2&lt;=E2),0,IF(AND(J2&gt;=D2*0.8,J2&lt;=E2*1.2),1,2))</f>
        <v>2</v>
      </c>
      <c r="S2" s="384">
        <f>AVERAGE(R2:R22)</f>
        <v>1.3333333333333333</v>
      </c>
      <c r="T2" s="361" t="str">
        <f>IF(S2&lt;=1,"FAIBLE",IF(S2=2,"MOYENNE","FORTE"))</f>
        <v>FORTE</v>
      </c>
      <c r="U2" s="361" t="str">
        <f>IF(O2="ABSOLUE","Inadmissible",
IF(O2="Forte",
    IF(T2="Forte",
        IF(OR(P2="Nationale",P2="Régionale",P2="Locale"),"Majeure","Moyenne"),
    IF(T2="Moyenne",
        IF(OR(P2="Nationale",P2="Régionale"),"Majeure","Moyenne"),
    IF(T2="Faible",
        IF(OR(P2="Nationale",P2="Régionale"),"Majeure","Mineure"),
    ""))),
IF(O2="Moyenne",
    IF(T2="Forte",
        IF(P2="Nationale","Majeure",
        IF(P2="Régionale","Moyenne","Moyenne")),
    IF(T2="Moyenne","Moyenne",
    IF(T2="Faible",
        IF(OR(P2="Nationale",P2="Régionale"),"Moyenne","Mineure"),
    ""))),
IF(O2="Faible",
    IF(T2="Forte",
        IF(OR(P2="Nationale",P2="Régionale"),"Moyenne","Mineure"),
    IF(T2="Moyenne","Mineure",
    "Mineure")),
IF(O2="Très Faible",
    IF(T2="Forte","Mineure",
    "Mineure à nulle"))))))</f>
        <v>Majeure</v>
      </c>
      <c r="V2" s="359" t="s">
        <v>219</v>
      </c>
      <c r="W2" s="359" t="str">
        <f>IF(OR(U2="Mineure",U2="Mineure à nulle"),"Mineure",
 IF(U2="Moyenne",
    IF(V2="Courte","Mineure","Moyenne"),
 IF(U2="Majeure",
    IF(V2="Courte","Moyenne","Majeure"),
 "")))</f>
        <v>Majeure</v>
      </c>
      <c r="X2" s="411"/>
      <c r="Y2" s="410" t="s">
        <v>211</v>
      </c>
      <c r="Z2" s="410"/>
      <c r="AA2" s="410" t="s">
        <v>211</v>
      </c>
      <c r="AB2" s="410" t="s">
        <v>211</v>
      </c>
      <c r="AC2" s="410" t="str">
        <f>IF(ISBLANK(X2),"",$U$2)</f>
        <v/>
      </c>
      <c r="AD2" s="412" t="str">
        <f>IF(ISBLANK(Y2),"",$U$2)</f>
        <v>Majeure</v>
      </c>
      <c r="AE2" s="410" t="str">
        <f>IF(ISBLANK(Z2),"",$U$2)</f>
        <v/>
      </c>
      <c r="AF2" s="412" t="str">
        <f>IF(ISBLANK(AA2),"",$U$2)</f>
        <v>Majeure</v>
      </c>
      <c r="AG2" s="412" t="str">
        <f>IF(ISBLANK(AB2),"",$U$2)</f>
        <v>Majeure</v>
      </c>
    </row>
    <row r="3" spans="1:33" ht="18" customHeight="1">
      <c r="A3" s="397"/>
      <c r="B3" s="144" t="s">
        <v>36</v>
      </c>
      <c r="C3" s="145" t="s">
        <v>4</v>
      </c>
      <c r="D3" s="232">
        <v>6.5</v>
      </c>
      <c r="E3" s="233">
        <v>8.5</v>
      </c>
      <c r="F3" s="151">
        <v>7</v>
      </c>
      <c r="G3" s="140">
        <f>IF(AND(F3&gt;=D3,F3&lt;=E3),0,
 IF(AND(F3&gt;=D3*0.8,F3&lt;=E3*1.2),1,
 2))</f>
        <v>0</v>
      </c>
      <c r="H3" s="377"/>
      <c r="I3" s="353"/>
      <c r="J3" s="141">
        <v>9</v>
      </c>
      <c r="K3" s="141">
        <v>7.1820000000000004</v>
      </c>
      <c r="L3" s="146">
        <f t="shared" ref="L3:L38" si="1">IF(AND(K4&gt;=D4,K4&lt;=E4),0,IF(AND(K4&gt;=D4*0.8,K4&lt;=E4*1.2),1,2))</f>
        <v>0</v>
      </c>
      <c r="M3" s="347"/>
      <c r="N3" s="353"/>
      <c r="O3" s="353"/>
      <c r="P3" s="353"/>
      <c r="Q3" s="353"/>
      <c r="R3" s="147">
        <f t="shared" si="0"/>
        <v>1</v>
      </c>
      <c r="S3" s="347"/>
      <c r="T3" s="353"/>
      <c r="U3" s="353"/>
      <c r="V3" s="353"/>
      <c r="W3" s="353"/>
      <c r="X3" s="411"/>
      <c r="Y3" s="410"/>
      <c r="Z3" s="410"/>
      <c r="AA3" s="410"/>
      <c r="AB3" s="410"/>
      <c r="AC3" s="410"/>
      <c r="AD3" s="412"/>
      <c r="AE3" s="410"/>
      <c r="AF3" s="412"/>
      <c r="AG3" s="412"/>
    </row>
    <row r="4" spans="1:33" ht="18.75" customHeight="1">
      <c r="A4" s="397"/>
      <c r="B4" s="144" t="s">
        <v>5</v>
      </c>
      <c r="C4" s="145" t="s">
        <v>6</v>
      </c>
      <c r="D4" s="234">
        <v>0</v>
      </c>
      <c r="E4" s="233">
        <v>5</v>
      </c>
      <c r="F4" s="151">
        <v>4</v>
      </c>
      <c r="G4" s="140">
        <f t="shared" ref="G4:G38" si="2">IF(AND(F4&gt;=D4,F4&lt;=E4),0,IF(AND(F4&gt;=D4*0.8,F4&lt;=E4*1.2),1,2))</f>
        <v>0</v>
      </c>
      <c r="H4" s="377"/>
      <c r="I4" s="353"/>
      <c r="J4" s="141">
        <v>7</v>
      </c>
      <c r="K4" s="141">
        <v>4.2729999999999997</v>
      </c>
      <c r="L4" s="146">
        <f t="shared" si="1"/>
        <v>1</v>
      </c>
      <c r="M4" s="347"/>
      <c r="N4" s="353"/>
      <c r="O4" s="353"/>
      <c r="P4" s="353"/>
      <c r="Q4" s="353"/>
      <c r="R4" s="147">
        <f t="shared" si="0"/>
        <v>2</v>
      </c>
      <c r="S4" s="347"/>
      <c r="T4" s="353"/>
      <c r="U4" s="353"/>
      <c r="V4" s="353"/>
      <c r="W4" s="353"/>
      <c r="X4" s="411"/>
      <c r="Y4" s="410"/>
      <c r="Z4" s="410"/>
      <c r="AA4" s="410"/>
      <c r="AB4" s="410"/>
      <c r="AC4" s="410"/>
      <c r="AD4" s="412"/>
      <c r="AE4" s="410"/>
      <c r="AF4" s="412"/>
      <c r="AG4" s="412"/>
    </row>
    <row r="5" spans="1:33" ht="18" customHeight="1">
      <c r="A5" s="397"/>
      <c r="B5" s="144" t="s">
        <v>7</v>
      </c>
      <c r="C5" s="145" t="s">
        <v>8</v>
      </c>
      <c r="D5" s="234">
        <v>0</v>
      </c>
      <c r="E5" s="233">
        <v>2000</v>
      </c>
      <c r="F5" s="151">
        <v>2001</v>
      </c>
      <c r="G5" s="140">
        <f t="shared" si="2"/>
        <v>1</v>
      </c>
      <c r="H5" s="377"/>
      <c r="I5" s="353"/>
      <c r="J5" s="141">
        <v>2009</v>
      </c>
      <c r="K5" s="141">
        <v>2001.7270000000001</v>
      </c>
      <c r="L5" s="146">
        <f t="shared" si="1"/>
        <v>1</v>
      </c>
      <c r="M5" s="347"/>
      <c r="N5" s="353"/>
      <c r="O5" s="353"/>
      <c r="P5" s="353"/>
      <c r="Q5" s="353"/>
      <c r="R5" s="147">
        <f t="shared" si="0"/>
        <v>1</v>
      </c>
      <c r="S5" s="347"/>
      <c r="T5" s="353"/>
      <c r="U5" s="353"/>
      <c r="V5" s="353"/>
      <c r="W5" s="353"/>
      <c r="X5" s="411"/>
      <c r="Y5" s="410"/>
      <c r="Z5" s="410"/>
      <c r="AA5" s="410"/>
      <c r="AB5" s="410"/>
      <c r="AC5" s="410"/>
      <c r="AD5" s="412"/>
      <c r="AE5" s="410"/>
      <c r="AF5" s="412"/>
      <c r="AG5" s="412"/>
    </row>
    <row r="6" spans="1:33" ht="18" customHeight="1">
      <c r="A6" s="397"/>
      <c r="B6" s="144" t="s">
        <v>9</v>
      </c>
      <c r="C6" s="145" t="s">
        <v>10</v>
      </c>
      <c r="D6" s="234">
        <v>0</v>
      </c>
      <c r="E6" s="233">
        <v>5</v>
      </c>
      <c r="F6" s="151">
        <v>5</v>
      </c>
      <c r="G6" s="140">
        <f t="shared" si="2"/>
        <v>0</v>
      </c>
      <c r="H6" s="377"/>
      <c r="I6" s="353"/>
      <c r="J6" s="141">
        <v>6</v>
      </c>
      <c r="K6" s="141">
        <v>5.0910000000000002</v>
      </c>
      <c r="L6" s="146">
        <f t="shared" si="1"/>
        <v>1</v>
      </c>
      <c r="M6" s="347"/>
      <c r="N6" s="353"/>
      <c r="O6" s="353"/>
      <c r="P6" s="353"/>
      <c r="Q6" s="353"/>
      <c r="R6" s="147">
        <f t="shared" si="0"/>
        <v>1</v>
      </c>
      <c r="S6" s="347"/>
      <c r="T6" s="353"/>
      <c r="U6" s="353"/>
      <c r="V6" s="353"/>
      <c r="W6" s="353"/>
      <c r="X6" s="411"/>
      <c r="Y6" s="410"/>
      <c r="Z6" s="410"/>
      <c r="AA6" s="410"/>
      <c r="AB6" s="410"/>
      <c r="AC6" s="410"/>
      <c r="AD6" s="412"/>
      <c r="AE6" s="410"/>
      <c r="AF6" s="412"/>
      <c r="AG6" s="412"/>
    </row>
    <row r="7" spans="1:33" ht="20.25" customHeight="1">
      <c r="A7" s="397"/>
      <c r="B7" s="144" t="s">
        <v>11</v>
      </c>
      <c r="C7" s="145" t="s">
        <v>10</v>
      </c>
      <c r="D7" s="234">
        <v>0</v>
      </c>
      <c r="E7" s="233">
        <v>25</v>
      </c>
      <c r="F7" s="151">
        <v>26</v>
      </c>
      <c r="G7" s="141">
        <f t="shared" si="2"/>
        <v>1</v>
      </c>
      <c r="H7" s="377"/>
      <c r="I7" s="353"/>
      <c r="J7" s="141">
        <v>30</v>
      </c>
      <c r="K7" s="141">
        <v>26.364000000000001</v>
      </c>
      <c r="L7" s="146">
        <f t="shared" si="1"/>
        <v>2</v>
      </c>
      <c r="M7" s="347"/>
      <c r="N7" s="353"/>
      <c r="O7" s="353"/>
      <c r="P7" s="353"/>
      <c r="Q7" s="353"/>
      <c r="R7" s="147">
        <f t="shared" si="0"/>
        <v>1</v>
      </c>
      <c r="S7" s="347"/>
      <c r="T7" s="353"/>
      <c r="U7" s="353"/>
      <c r="V7" s="353"/>
      <c r="W7" s="353"/>
      <c r="X7" s="411"/>
      <c r="Y7" s="410"/>
      <c r="Z7" s="410"/>
      <c r="AA7" s="410"/>
      <c r="AB7" s="410"/>
      <c r="AC7" s="410"/>
      <c r="AD7" s="412"/>
      <c r="AE7" s="410"/>
      <c r="AF7" s="412"/>
      <c r="AG7" s="412"/>
    </row>
    <row r="8" spans="1:33" ht="15" customHeight="1">
      <c r="A8" s="397"/>
      <c r="B8" s="144" t="s">
        <v>12</v>
      </c>
      <c r="C8" s="145" t="s">
        <v>10</v>
      </c>
      <c r="D8" s="234">
        <v>0</v>
      </c>
      <c r="E8" s="233">
        <v>5</v>
      </c>
      <c r="F8" s="151">
        <v>8</v>
      </c>
      <c r="G8" s="141">
        <f t="shared" si="2"/>
        <v>2</v>
      </c>
      <c r="H8" s="377"/>
      <c r="I8" s="353"/>
      <c r="J8" s="141">
        <v>4</v>
      </c>
      <c r="K8" s="141">
        <v>7.6360000000000001</v>
      </c>
      <c r="L8" s="146">
        <f t="shared" si="1"/>
        <v>0</v>
      </c>
      <c r="M8" s="347"/>
      <c r="N8" s="353"/>
      <c r="O8" s="353"/>
      <c r="P8" s="353"/>
      <c r="Q8" s="353"/>
      <c r="R8" s="147">
        <f t="shared" si="0"/>
        <v>0</v>
      </c>
      <c r="S8" s="347"/>
      <c r="T8" s="353"/>
      <c r="U8" s="353"/>
      <c r="V8" s="353"/>
      <c r="W8" s="353"/>
      <c r="X8" s="411"/>
      <c r="Y8" s="410"/>
      <c r="Z8" s="410"/>
      <c r="AA8" s="410"/>
      <c r="AB8" s="410"/>
      <c r="AC8" s="410"/>
      <c r="AD8" s="412"/>
      <c r="AE8" s="410"/>
      <c r="AF8" s="412"/>
      <c r="AG8" s="412"/>
    </row>
    <row r="9" spans="1:33" ht="18" customHeight="1">
      <c r="A9" s="397"/>
      <c r="B9" s="144" t="s">
        <v>13</v>
      </c>
      <c r="C9" s="145" t="s">
        <v>10</v>
      </c>
      <c r="D9" s="234">
        <v>0</v>
      </c>
      <c r="E9" s="233">
        <v>50</v>
      </c>
      <c r="F9" s="151">
        <v>8</v>
      </c>
      <c r="G9" s="141">
        <f t="shared" si="2"/>
        <v>0</v>
      </c>
      <c r="H9" s="377"/>
      <c r="I9" s="353"/>
      <c r="J9" s="141">
        <v>66</v>
      </c>
      <c r="K9" s="141">
        <v>13.273</v>
      </c>
      <c r="L9" s="146">
        <f t="shared" si="1"/>
        <v>2</v>
      </c>
      <c r="M9" s="347"/>
      <c r="N9" s="353"/>
      <c r="O9" s="353"/>
      <c r="P9" s="353"/>
      <c r="Q9" s="353"/>
      <c r="R9" s="147">
        <f t="shared" si="0"/>
        <v>2</v>
      </c>
      <c r="S9" s="347"/>
      <c r="T9" s="353"/>
      <c r="U9" s="353"/>
      <c r="V9" s="353"/>
      <c r="W9" s="353"/>
      <c r="X9" s="411"/>
      <c r="Y9" s="410"/>
      <c r="Z9" s="410"/>
      <c r="AA9" s="410"/>
      <c r="AB9" s="410"/>
      <c r="AC9" s="410"/>
      <c r="AD9" s="412"/>
      <c r="AE9" s="410"/>
      <c r="AF9" s="412"/>
      <c r="AG9" s="412"/>
    </row>
    <row r="10" spans="1:33" ht="20.25" customHeight="1">
      <c r="A10" s="397"/>
      <c r="B10" s="144" t="s">
        <v>14</v>
      </c>
      <c r="C10" s="145" t="s">
        <v>10</v>
      </c>
      <c r="D10" s="234">
        <v>0</v>
      </c>
      <c r="E10" s="233">
        <v>0.1</v>
      </c>
      <c r="F10" s="151">
        <v>8</v>
      </c>
      <c r="G10" s="141">
        <f t="shared" si="2"/>
        <v>2</v>
      </c>
      <c r="H10" s="377"/>
      <c r="I10" s="353"/>
      <c r="J10" s="141">
        <v>0.8</v>
      </c>
      <c r="K10" s="141">
        <v>7.3449999999999998</v>
      </c>
      <c r="L10" s="146">
        <f t="shared" si="1"/>
        <v>2</v>
      </c>
      <c r="M10" s="347"/>
      <c r="N10" s="353"/>
      <c r="O10" s="353"/>
      <c r="P10" s="353"/>
      <c r="Q10" s="353"/>
      <c r="R10" s="147">
        <f t="shared" si="0"/>
        <v>2</v>
      </c>
      <c r="S10" s="347"/>
      <c r="T10" s="353"/>
      <c r="U10" s="353"/>
      <c r="V10" s="353"/>
      <c r="W10" s="353"/>
      <c r="X10" s="411"/>
      <c r="Y10" s="410"/>
      <c r="Z10" s="410"/>
      <c r="AA10" s="410"/>
      <c r="AB10" s="410"/>
      <c r="AC10" s="410"/>
      <c r="AD10" s="412"/>
      <c r="AE10" s="410"/>
      <c r="AF10" s="412"/>
      <c r="AG10" s="412"/>
    </row>
    <row r="11" spans="1:33" ht="19.5" customHeight="1">
      <c r="A11" s="397"/>
      <c r="B11" s="144" t="s">
        <v>15</v>
      </c>
      <c r="C11" s="145" t="s">
        <v>10</v>
      </c>
      <c r="D11" s="234">
        <v>0</v>
      </c>
      <c r="E11" s="233">
        <v>0.5</v>
      </c>
      <c r="F11" s="151">
        <v>8</v>
      </c>
      <c r="G11" s="141">
        <f t="shared" si="2"/>
        <v>2</v>
      </c>
      <c r="H11" s="377"/>
      <c r="I11" s="353"/>
      <c r="J11" s="141">
        <v>0.7</v>
      </c>
      <c r="K11" s="141">
        <v>7.3360000000000003</v>
      </c>
      <c r="L11" s="146">
        <f t="shared" si="1"/>
        <v>2</v>
      </c>
      <c r="M11" s="347"/>
      <c r="N11" s="353"/>
      <c r="O11" s="353"/>
      <c r="P11" s="353"/>
      <c r="Q11" s="353"/>
      <c r="R11" s="147">
        <f t="shared" si="0"/>
        <v>2</v>
      </c>
      <c r="S11" s="347"/>
      <c r="T11" s="353"/>
      <c r="U11" s="353"/>
      <c r="V11" s="353"/>
      <c r="W11" s="353"/>
      <c r="X11" s="411"/>
      <c r="Y11" s="410"/>
      <c r="Z11" s="410"/>
      <c r="AA11" s="410"/>
      <c r="AB11" s="410"/>
      <c r="AC11" s="410"/>
      <c r="AD11" s="412"/>
      <c r="AE11" s="410"/>
      <c r="AF11" s="412"/>
      <c r="AG11" s="412"/>
    </row>
    <row r="12" spans="1:33" ht="20.25" customHeight="1">
      <c r="A12" s="397"/>
      <c r="B12" s="144" t="s">
        <v>16</v>
      </c>
      <c r="C12" s="145" t="s">
        <v>10</v>
      </c>
      <c r="D12" s="234">
        <v>0</v>
      </c>
      <c r="E12" s="233">
        <v>5.2999999999999999E-2</v>
      </c>
      <c r="F12" s="151">
        <v>8</v>
      </c>
      <c r="G12" s="141">
        <f t="shared" si="2"/>
        <v>2</v>
      </c>
      <c r="H12" s="377"/>
      <c r="I12" s="353"/>
      <c r="J12" s="141">
        <v>9.9000000000000005E-2</v>
      </c>
      <c r="K12" s="141">
        <v>7.282</v>
      </c>
      <c r="L12" s="146">
        <f t="shared" si="1"/>
        <v>2</v>
      </c>
      <c r="M12" s="347"/>
      <c r="N12" s="353"/>
      <c r="O12" s="353"/>
      <c r="P12" s="353"/>
      <c r="Q12" s="353"/>
      <c r="R12" s="147">
        <f t="shared" si="0"/>
        <v>2</v>
      </c>
      <c r="S12" s="347"/>
      <c r="T12" s="353"/>
      <c r="U12" s="353"/>
      <c r="V12" s="353"/>
      <c r="W12" s="353"/>
      <c r="X12" s="411"/>
      <c r="Y12" s="410"/>
      <c r="Z12" s="410"/>
      <c r="AA12" s="410"/>
      <c r="AB12" s="410"/>
      <c r="AC12" s="410"/>
      <c r="AD12" s="412"/>
      <c r="AE12" s="410"/>
      <c r="AF12" s="412"/>
      <c r="AG12" s="412"/>
    </row>
    <row r="13" spans="1:33" ht="23.25" customHeight="1">
      <c r="A13" s="397"/>
      <c r="B13" s="144" t="s">
        <v>17</v>
      </c>
      <c r="C13" s="148" t="s">
        <v>10</v>
      </c>
      <c r="D13" s="234">
        <v>0</v>
      </c>
      <c r="E13" s="233">
        <v>0.1</v>
      </c>
      <c r="F13" s="151">
        <v>8</v>
      </c>
      <c r="G13" s="141">
        <f t="shared" si="2"/>
        <v>2</v>
      </c>
      <c r="H13" s="377"/>
      <c r="I13" s="353"/>
      <c r="J13" s="141">
        <v>0.9</v>
      </c>
      <c r="K13" s="141">
        <v>7.3550000000000004</v>
      </c>
      <c r="L13" s="146">
        <f t="shared" si="1"/>
        <v>2</v>
      </c>
      <c r="M13" s="347"/>
      <c r="N13" s="353"/>
      <c r="O13" s="353"/>
      <c r="P13" s="353"/>
      <c r="Q13" s="353"/>
      <c r="R13" s="147">
        <f t="shared" si="0"/>
        <v>2</v>
      </c>
      <c r="S13" s="347"/>
      <c r="T13" s="353"/>
      <c r="U13" s="353"/>
      <c r="V13" s="353"/>
      <c r="W13" s="353"/>
      <c r="X13" s="411"/>
      <c r="Y13" s="410"/>
      <c r="Z13" s="410"/>
      <c r="AA13" s="410"/>
      <c r="AB13" s="410"/>
      <c r="AC13" s="410"/>
      <c r="AD13" s="412"/>
      <c r="AE13" s="410"/>
      <c r="AF13" s="412"/>
      <c r="AG13" s="412"/>
    </row>
    <row r="14" spans="1:33" ht="23.25" customHeight="1">
      <c r="A14" s="397"/>
      <c r="B14" s="149" t="s">
        <v>38</v>
      </c>
      <c r="C14" s="150"/>
      <c r="D14" s="234">
        <v>0</v>
      </c>
      <c r="E14" s="233">
        <v>0.01</v>
      </c>
      <c r="F14" s="151">
        <v>8</v>
      </c>
      <c r="G14" s="141">
        <f t="shared" si="2"/>
        <v>2</v>
      </c>
      <c r="H14" s="377"/>
      <c r="I14" s="353"/>
      <c r="J14" s="141">
        <v>0.04</v>
      </c>
      <c r="K14" s="141">
        <v>7.2759999999999998</v>
      </c>
      <c r="L14" s="146">
        <f t="shared" si="1"/>
        <v>2</v>
      </c>
      <c r="M14" s="347"/>
      <c r="N14" s="353"/>
      <c r="O14" s="353"/>
      <c r="P14" s="353"/>
      <c r="Q14" s="353"/>
      <c r="R14" s="147">
        <f t="shared" si="0"/>
        <v>2</v>
      </c>
      <c r="S14" s="347"/>
      <c r="T14" s="353"/>
      <c r="U14" s="353"/>
      <c r="V14" s="353"/>
      <c r="W14" s="353"/>
      <c r="X14" s="411"/>
      <c r="Y14" s="410"/>
      <c r="Z14" s="410"/>
      <c r="AA14" s="410"/>
      <c r="AB14" s="410"/>
      <c r="AC14" s="410"/>
      <c r="AD14" s="412"/>
      <c r="AE14" s="410"/>
      <c r="AF14" s="412"/>
      <c r="AG14" s="412"/>
    </row>
    <row r="15" spans="1:33" ht="21" customHeight="1">
      <c r="A15" s="397"/>
      <c r="B15" s="149" t="s">
        <v>39</v>
      </c>
      <c r="C15" s="150"/>
      <c r="D15" s="234">
        <v>0</v>
      </c>
      <c r="E15" s="233">
        <v>3.0000000000000001E-3</v>
      </c>
      <c r="F15" s="151">
        <v>8</v>
      </c>
      <c r="G15" s="141">
        <f t="shared" si="2"/>
        <v>2</v>
      </c>
      <c r="H15" s="377"/>
      <c r="I15" s="353"/>
      <c r="J15" s="141">
        <v>8.9999999999999993E-3</v>
      </c>
      <c r="K15" s="141">
        <v>7.274</v>
      </c>
      <c r="L15" s="146">
        <f t="shared" si="1"/>
        <v>2</v>
      </c>
      <c r="M15" s="347"/>
      <c r="N15" s="353"/>
      <c r="O15" s="353"/>
      <c r="P15" s="353"/>
      <c r="Q15" s="353"/>
      <c r="R15" s="147">
        <f t="shared" si="0"/>
        <v>2</v>
      </c>
      <c r="S15" s="347"/>
      <c r="T15" s="353"/>
      <c r="U15" s="353"/>
      <c r="V15" s="353"/>
      <c r="W15" s="353"/>
      <c r="X15" s="411"/>
      <c r="Y15" s="410"/>
      <c r="Z15" s="410"/>
      <c r="AA15" s="410"/>
      <c r="AB15" s="410"/>
      <c r="AC15" s="410"/>
      <c r="AD15" s="412"/>
      <c r="AE15" s="410"/>
      <c r="AF15" s="412"/>
      <c r="AG15" s="412"/>
    </row>
    <row r="16" spans="1:33" ht="21.75" customHeight="1">
      <c r="A16" s="397"/>
      <c r="B16" s="149" t="s">
        <v>40</v>
      </c>
      <c r="C16" s="150"/>
      <c r="D16" s="234">
        <v>0</v>
      </c>
      <c r="E16" s="233">
        <v>0.05</v>
      </c>
      <c r="F16" s="151">
        <v>8</v>
      </c>
      <c r="G16" s="141">
        <f t="shared" si="2"/>
        <v>2</v>
      </c>
      <c r="H16" s="377"/>
      <c r="I16" s="353"/>
      <c r="J16" s="141">
        <v>7.0000000000000001E-3</v>
      </c>
      <c r="K16" s="141">
        <v>7.2729999999999997</v>
      </c>
      <c r="L16" s="146">
        <f t="shared" si="1"/>
        <v>2</v>
      </c>
      <c r="M16" s="347"/>
      <c r="N16" s="353"/>
      <c r="O16" s="353"/>
      <c r="P16" s="353"/>
      <c r="Q16" s="353"/>
      <c r="R16" s="147">
        <f t="shared" si="0"/>
        <v>0</v>
      </c>
      <c r="S16" s="347"/>
      <c r="T16" s="353"/>
      <c r="U16" s="353"/>
      <c r="V16" s="353"/>
      <c r="W16" s="353"/>
      <c r="X16" s="411"/>
      <c r="Y16" s="410"/>
      <c r="Z16" s="410"/>
      <c r="AA16" s="410"/>
      <c r="AB16" s="410"/>
      <c r="AC16" s="410"/>
      <c r="AD16" s="412"/>
      <c r="AE16" s="410"/>
      <c r="AF16" s="412"/>
      <c r="AG16" s="412"/>
    </row>
    <row r="17" spans="1:33" ht="23.25" customHeight="1">
      <c r="A17" s="397"/>
      <c r="B17" s="149" t="s">
        <v>41</v>
      </c>
      <c r="C17" s="150"/>
      <c r="D17" s="234">
        <v>0</v>
      </c>
      <c r="E17" s="233">
        <v>2</v>
      </c>
      <c r="F17" s="151">
        <v>8</v>
      </c>
      <c r="G17" s="141">
        <f t="shared" si="2"/>
        <v>2</v>
      </c>
      <c r="H17" s="377"/>
      <c r="I17" s="353"/>
      <c r="J17" s="141">
        <v>3</v>
      </c>
      <c r="K17" s="141">
        <v>7.5449999999999999</v>
      </c>
      <c r="L17" s="146">
        <f t="shared" si="1"/>
        <v>2</v>
      </c>
      <c r="M17" s="347"/>
      <c r="N17" s="353"/>
      <c r="O17" s="353"/>
      <c r="P17" s="353"/>
      <c r="Q17" s="353"/>
      <c r="R17" s="147">
        <f t="shared" si="0"/>
        <v>2</v>
      </c>
      <c r="S17" s="347"/>
      <c r="T17" s="353"/>
      <c r="U17" s="353"/>
      <c r="V17" s="353"/>
      <c r="W17" s="353"/>
      <c r="X17" s="411"/>
      <c r="Y17" s="410"/>
      <c r="Z17" s="410"/>
      <c r="AA17" s="410"/>
      <c r="AB17" s="410"/>
      <c r="AC17" s="410"/>
      <c r="AD17" s="412"/>
      <c r="AE17" s="410"/>
      <c r="AF17" s="412"/>
      <c r="AG17" s="412"/>
    </row>
    <row r="18" spans="1:33" ht="24" customHeight="1">
      <c r="A18" s="397"/>
      <c r="B18" s="149" t="s">
        <v>42</v>
      </c>
      <c r="C18" s="150"/>
      <c r="D18" s="234">
        <v>0</v>
      </c>
      <c r="E18" s="233">
        <v>3</v>
      </c>
      <c r="F18" s="151">
        <v>8</v>
      </c>
      <c r="G18" s="141">
        <f t="shared" si="2"/>
        <v>2</v>
      </c>
      <c r="H18" s="377"/>
      <c r="I18" s="353"/>
      <c r="J18" s="141">
        <v>0.08</v>
      </c>
      <c r="K18" s="141">
        <v>7.28</v>
      </c>
      <c r="L18" s="146">
        <f t="shared" si="1"/>
        <v>2</v>
      </c>
      <c r="M18" s="347"/>
      <c r="N18" s="353"/>
      <c r="O18" s="353"/>
      <c r="P18" s="353"/>
      <c r="Q18" s="353"/>
      <c r="R18" s="147">
        <f t="shared" si="0"/>
        <v>0</v>
      </c>
      <c r="S18" s="347"/>
      <c r="T18" s="353"/>
      <c r="U18" s="353"/>
      <c r="V18" s="353"/>
      <c r="W18" s="353"/>
      <c r="X18" s="411"/>
      <c r="Y18" s="410"/>
      <c r="Z18" s="410"/>
      <c r="AA18" s="410"/>
      <c r="AB18" s="410"/>
      <c r="AC18" s="410"/>
      <c r="AD18" s="412"/>
      <c r="AE18" s="410"/>
      <c r="AF18" s="412"/>
      <c r="AG18" s="412"/>
    </row>
    <row r="19" spans="1:33" ht="22.5" customHeight="1">
      <c r="A19" s="397"/>
      <c r="B19" s="149" t="s">
        <v>43</v>
      </c>
      <c r="C19" s="150"/>
      <c r="D19" s="234">
        <v>0</v>
      </c>
      <c r="E19" s="233">
        <v>0.02</v>
      </c>
      <c r="F19" s="151">
        <v>8</v>
      </c>
      <c r="G19" s="141">
        <f t="shared" si="2"/>
        <v>2</v>
      </c>
      <c r="H19" s="377"/>
      <c r="I19" s="353"/>
      <c r="J19" s="141">
        <v>7.0000000000000001E-3</v>
      </c>
      <c r="K19" s="141">
        <v>7.2729999999999997</v>
      </c>
      <c r="L19" s="146">
        <f t="shared" si="1"/>
        <v>2</v>
      </c>
      <c r="M19" s="347"/>
      <c r="N19" s="353"/>
      <c r="O19" s="353"/>
      <c r="P19" s="353"/>
      <c r="Q19" s="353"/>
      <c r="R19" s="147">
        <f t="shared" si="0"/>
        <v>0</v>
      </c>
      <c r="S19" s="347"/>
      <c r="T19" s="353"/>
      <c r="U19" s="353"/>
      <c r="V19" s="353"/>
      <c r="W19" s="353"/>
      <c r="X19" s="411"/>
      <c r="Y19" s="410"/>
      <c r="Z19" s="410"/>
      <c r="AA19" s="410"/>
      <c r="AB19" s="410"/>
      <c r="AC19" s="410"/>
      <c r="AD19" s="412"/>
      <c r="AE19" s="410"/>
      <c r="AF19" s="412"/>
      <c r="AG19" s="412"/>
    </row>
    <row r="20" spans="1:33" ht="24.75" customHeight="1">
      <c r="A20" s="397"/>
      <c r="B20" s="149" t="s">
        <v>44</v>
      </c>
      <c r="C20" s="150"/>
      <c r="D20" s="234">
        <v>0</v>
      </c>
      <c r="E20" s="233">
        <v>1E-3</v>
      </c>
      <c r="F20" s="151">
        <v>8</v>
      </c>
      <c r="G20" s="141">
        <f t="shared" si="2"/>
        <v>2</v>
      </c>
      <c r="H20" s="377"/>
      <c r="I20" s="353"/>
      <c r="J20" s="141">
        <v>0.02</v>
      </c>
      <c r="K20" s="141">
        <v>7.2750000000000004</v>
      </c>
      <c r="L20" s="146">
        <f t="shared" si="1"/>
        <v>2</v>
      </c>
      <c r="M20" s="347"/>
      <c r="N20" s="353"/>
      <c r="O20" s="353"/>
      <c r="P20" s="353"/>
      <c r="Q20" s="353"/>
      <c r="R20" s="147">
        <f t="shared" si="0"/>
        <v>2</v>
      </c>
      <c r="S20" s="347"/>
      <c r="T20" s="353"/>
      <c r="U20" s="353"/>
      <c r="V20" s="353"/>
      <c r="W20" s="353"/>
      <c r="X20" s="411"/>
      <c r="Y20" s="410"/>
      <c r="Z20" s="410"/>
      <c r="AA20" s="410"/>
      <c r="AB20" s="410"/>
      <c r="AC20" s="410"/>
      <c r="AD20" s="412"/>
      <c r="AE20" s="410"/>
      <c r="AF20" s="412"/>
      <c r="AG20" s="412"/>
    </row>
    <row r="21" spans="1:33" ht="28.5" customHeight="1">
      <c r="A21" s="397"/>
      <c r="B21" s="149" t="s">
        <v>45</v>
      </c>
      <c r="C21" s="150"/>
      <c r="D21" s="234">
        <v>0</v>
      </c>
      <c r="E21" s="233">
        <v>0.01</v>
      </c>
      <c r="F21" s="151">
        <v>8</v>
      </c>
      <c r="G21" s="141">
        <f t="shared" si="2"/>
        <v>2</v>
      </c>
      <c r="H21" s="377"/>
      <c r="I21" s="353"/>
      <c r="J21" s="141">
        <v>0.01</v>
      </c>
      <c r="K21" s="141">
        <v>7.274</v>
      </c>
      <c r="L21" s="146">
        <f t="shared" si="1"/>
        <v>1</v>
      </c>
      <c r="M21" s="347"/>
      <c r="N21" s="353"/>
      <c r="O21" s="353"/>
      <c r="P21" s="353"/>
      <c r="Q21" s="353"/>
      <c r="R21" s="147">
        <f t="shared" si="0"/>
        <v>0</v>
      </c>
      <c r="S21" s="347"/>
      <c r="T21" s="353"/>
      <c r="U21" s="353"/>
      <c r="V21" s="353"/>
      <c r="W21" s="353"/>
      <c r="X21" s="411"/>
      <c r="Y21" s="410"/>
      <c r="Z21" s="410"/>
      <c r="AA21" s="410"/>
      <c r="AB21" s="410"/>
      <c r="AC21" s="410"/>
      <c r="AD21" s="412"/>
      <c r="AE21" s="410"/>
      <c r="AF21" s="412"/>
      <c r="AG21" s="412"/>
    </row>
    <row r="22" spans="1:33" ht="30" customHeight="1" thickBot="1">
      <c r="A22" s="398"/>
      <c r="B22" s="152" t="s">
        <v>37</v>
      </c>
      <c r="C22" s="153" t="s">
        <v>10</v>
      </c>
      <c r="D22" s="266">
        <v>0</v>
      </c>
      <c r="E22" s="267">
        <v>0.05</v>
      </c>
      <c r="F22" s="224">
        <v>0.05</v>
      </c>
      <c r="G22" s="154">
        <f t="shared" si="2"/>
        <v>0</v>
      </c>
      <c r="H22" s="378"/>
      <c r="I22" s="354"/>
      <c r="J22" s="154">
        <v>0.09</v>
      </c>
      <c r="K22" s="154">
        <v>5.3999999999999999E-2</v>
      </c>
      <c r="L22" s="155">
        <f t="shared" si="1"/>
        <v>1</v>
      </c>
      <c r="M22" s="348"/>
      <c r="N22" s="354"/>
      <c r="O22" s="354"/>
      <c r="P22" s="354"/>
      <c r="Q22" s="354"/>
      <c r="R22" s="156">
        <f t="shared" si="0"/>
        <v>2</v>
      </c>
      <c r="S22" s="348"/>
      <c r="T22" s="354"/>
      <c r="U22" s="354"/>
      <c r="V22" s="354"/>
      <c r="W22" s="354"/>
      <c r="X22" s="411"/>
      <c r="Y22" s="410"/>
      <c r="Z22" s="410"/>
      <c r="AA22" s="410"/>
      <c r="AB22" s="410"/>
      <c r="AC22" s="410"/>
      <c r="AD22" s="412"/>
      <c r="AE22" s="410"/>
      <c r="AF22" s="412"/>
      <c r="AG22" s="412"/>
    </row>
    <row r="23" spans="1:33" ht="21" customHeight="1">
      <c r="A23" s="385" t="s">
        <v>34</v>
      </c>
      <c r="B23" s="157" t="s">
        <v>3</v>
      </c>
      <c r="C23" s="158" t="s">
        <v>4</v>
      </c>
      <c r="D23" s="258">
        <v>5.5</v>
      </c>
      <c r="E23" s="259">
        <v>7.5</v>
      </c>
      <c r="F23" s="225">
        <v>9</v>
      </c>
      <c r="G23" s="159">
        <f t="shared" si="2"/>
        <v>1</v>
      </c>
      <c r="H23" s="388">
        <v>7.0000000000000007E-2</v>
      </c>
      <c r="I23" s="362" t="str">
        <f>IF(H23&lt;=0.5,"Faible",IF(H23&lt;=1,"Moyenne","Forte"))</f>
        <v>Faible</v>
      </c>
      <c r="J23" s="159">
        <v>9</v>
      </c>
      <c r="K23" s="141">
        <v>9</v>
      </c>
      <c r="L23" s="221">
        <f t="shared" si="1"/>
        <v>0</v>
      </c>
      <c r="M23" s="346">
        <f>AVERAGE(L22:L35)</f>
        <v>0.21428571428571427</v>
      </c>
      <c r="N23" s="362" t="str">
        <f>IF(M23&lt;=0.5,"Faible",IF(M23&lt;=1,"Moyenne","Forte"))</f>
        <v>Faible</v>
      </c>
      <c r="O23" s="352" t="str">
        <f>IF(AND(N23="FORTE",I23="FORTE"),"FORTE",
 IF(AND(N23="FORTE",I23="MOYENNE"),"FORTE",
 IF(AND(N23="FORTE",I23="FAIBLE"),"MOYENNE",
 IF(AND(N23="MOYENNE",I23="FORTE"),"FORTE",
 IF(AND(N23="MOYENNE",I23="MOYENNE"),"MOYENNE",
 IF(AND(N23="MOYENNE",I23="FAIBLE"),"FAIBLE",
 IF(AND(N23="FAIBLE",I23="FORTE"),"MOYENNE",
 IF(AND(N23="FAIBLE",I23="MOYENNE"),"FAIBLE",
 IF(AND(N23="FAIBLE",I23="FAIBLE"),"FAIBLE","Erreur")))))))))</f>
        <v>FAIBLE</v>
      </c>
      <c r="P23" s="352" t="s">
        <v>57</v>
      </c>
      <c r="Q23" s="352">
        <f>IF(P23="Ponctuelle",0,
IF(P23="Locale",0.5,
IF(P23="Régionale",1.25,
IF(P23="Nationale",2,
""))))</f>
        <v>0.5</v>
      </c>
      <c r="R23" s="147">
        <f t="shared" si="0"/>
        <v>1</v>
      </c>
      <c r="S23" s="346">
        <f>AVERAGE(R23:R36)</f>
        <v>0.2857142857142857</v>
      </c>
      <c r="T23" s="352" t="str">
        <f>IF(S23&lt;=1,"FAIBLE",IF(S23=2,"MOYENNE","FORTE"))</f>
        <v>FAIBLE</v>
      </c>
      <c r="U23" s="352" t="str">
        <f>IF(O23="ABSOLUE","Inadmissible",
IF(O23="Forte",
    IF(T23="Forte",
        IF(OR(P23="Nationale",P23="Régionale",P23="Locale"),"Majeure","Moyenne"),
    IF(T23="Moyenne",
        IF(OR(P23="Nationale",P23="Régionale"),"Majeure","Moyenne"),
    IF(T23="Faible",
        IF(OR(P23="Nationale",P23="Régionale"),"Majeure","Mineure"),
    ""))),
IF(O23="Moyenne",
    IF(T23="Forte",
        IF(P23="Nationale","Majeure",
        IF(P23="Régionale","Moyenne","Moyenne")),
    IF(T23="Moyenne","Moyenne",
    IF(T23="Faible",
        IF(OR(P23="Nationale",P23="Régionale"),"Moyenne","Mineure"),
    ""))),
IF(O23="Faible",
    IF(T23="Forte",
        IF(OR(P23="Nationale",P23="Régionale"),"Moyenne","Mineure"),
    IF(T23="Moyenne","Mineure",
    "Mineure")),
IF(O23="Très Faible",
    IF(T23="Forte","Mineure",
    "Mineure à nulle"))))))</f>
        <v>Mineure</v>
      </c>
      <c r="V23" s="352" t="s">
        <v>220</v>
      </c>
      <c r="W23" s="352" t="str">
        <f>IF(OR(U23="Mineure",U23="Mineure à nulle"),"Mineure",
 IF(U23="Moyenne",
    IF(V23="Courte","Mineure","Moyenne"),
 IF(U23="Majeure",
    IF(V23="Courte","Moyenne","Majeure"),
 "")))</f>
        <v>Mineure</v>
      </c>
      <c r="X23" s="411"/>
      <c r="Y23" s="410" t="s">
        <v>211</v>
      </c>
      <c r="Z23" s="410"/>
      <c r="AA23" s="410" t="s">
        <v>211</v>
      </c>
      <c r="AB23" s="410" t="s">
        <v>211</v>
      </c>
      <c r="AC23" s="410"/>
      <c r="AD23" s="410" t="s">
        <v>211</v>
      </c>
      <c r="AE23" s="410"/>
      <c r="AF23" s="410" t="s">
        <v>211</v>
      </c>
      <c r="AG23" s="410" t="s">
        <v>211</v>
      </c>
    </row>
    <row r="24" spans="1:33" ht="26.25" customHeight="1">
      <c r="A24" s="386"/>
      <c r="B24" s="160" t="s">
        <v>18</v>
      </c>
      <c r="C24" s="161" t="s">
        <v>19</v>
      </c>
      <c r="D24" s="237">
        <v>9.9999999999999995E-7</v>
      </c>
      <c r="E24" s="236">
        <v>1E-3</v>
      </c>
      <c r="F24" s="226">
        <v>1E-3</v>
      </c>
      <c r="G24" s="184">
        <f t="shared" si="2"/>
        <v>0</v>
      </c>
      <c r="H24" s="389"/>
      <c r="I24" s="363"/>
      <c r="J24" s="162">
        <v>1E-3</v>
      </c>
      <c r="K24" s="141">
        <v>1E-3</v>
      </c>
      <c r="L24" s="146">
        <f t="shared" si="1"/>
        <v>0</v>
      </c>
      <c r="M24" s="347"/>
      <c r="N24" s="363"/>
      <c r="O24" s="353"/>
      <c r="P24" s="353"/>
      <c r="Q24" s="353"/>
      <c r="R24" s="147">
        <f t="shared" si="0"/>
        <v>0</v>
      </c>
      <c r="S24" s="347"/>
      <c r="T24" s="353"/>
      <c r="U24" s="353"/>
      <c r="V24" s="353"/>
      <c r="W24" s="353"/>
      <c r="X24" s="411"/>
      <c r="Y24" s="410"/>
      <c r="Z24" s="410"/>
      <c r="AA24" s="410"/>
      <c r="AB24" s="410"/>
      <c r="AC24" s="410"/>
      <c r="AD24" s="410"/>
      <c r="AE24" s="410"/>
      <c r="AF24" s="410"/>
      <c r="AG24" s="410"/>
    </row>
    <row r="25" spans="1:33" ht="23.25" customHeight="1">
      <c r="A25" s="386"/>
      <c r="B25" s="160" t="s">
        <v>20</v>
      </c>
      <c r="C25" s="161" t="s">
        <v>21</v>
      </c>
      <c r="D25" s="235">
        <v>2</v>
      </c>
      <c r="E25" s="236">
        <v>10</v>
      </c>
      <c r="F25" s="151">
        <v>2</v>
      </c>
      <c r="G25" s="141">
        <f t="shared" si="2"/>
        <v>0</v>
      </c>
      <c r="H25" s="389"/>
      <c r="I25" s="363"/>
      <c r="J25" s="140">
        <v>2</v>
      </c>
      <c r="K25" s="141">
        <v>2</v>
      </c>
      <c r="L25" s="146">
        <f t="shared" si="1"/>
        <v>2</v>
      </c>
      <c r="M25" s="347"/>
      <c r="N25" s="363"/>
      <c r="O25" s="353"/>
      <c r="P25" s="353"/>
      <c r="Q25" s="353"/>
      <c r="R25" s="147">
        <f t="shared" si="0"/>
        <v>0</v>
      </c>
      <c r="S25" s="347"/>
      <c r="T25" s="353"/>
      <c r="U25" s="353"/>
      <c r="V25" s="353"/>
      <c r="W25" s="353"/>
      <c r="X25" s="411"/>
      <c r="Y25" s="410"/>
      <c r="Z25" s="410"/>
      <c r="AA25" s="410"/>
      <c r="AB25" s="410"/>
      <c r="AC25" s="410"/>
      <c r="AD25" s="410"/>
      <c r="AE25" s="410"/>
      <c r="AF25" s="410"/>
      <c r="AG25" s="410"/>
    </row>
    <row r="26" spans="1:33" ht="23.25" customHeight="1">
      <c r="A26" s="386"/>
      <c r="B26" s="160" t="s">
        <v>22</v>
      </c>
      <c r="C26" s="161" t="s">
        <v>21</v>
      </c>
      <c r="D26" s="235">
        <v>1</v>
      </c>
      <c r="E26" s="236"/>
      <c r="F26" s="151">
        <v>2</v>
      </c>
      <c r="G26" s="140">
        <f t="shared" si="2"/>
        <v>2</v>
      </c>
      <c r="H26" s="389"/>
      <c r="I26" s="363"/>
      <c r="J26" s="140">
        <v>2</v>
      </c>
      <c r="K26" s="141">
        <v>2</v>
      </c>
      <c r="L26" s="146">
        <f t="shared" si="1"/>
        <v>0</v>
      </c>
      <c r="M26" s="347"/>
      <c r="N26" s="363"/>
      <c r="O26" s="353"/>
      <c r="P26" s="353"/>
      <c r="Q26" s="353"/>
      <c r="R26" s="147">
        <f t="shared" si="0"/>
        <v>2</v>
      </c>
      <c r="S26" s="347"/>
      <c r="T26" s="353"/>
      <c r="U26" s="353"/>
      <c r="V26" s="353"/>
      <c r="W26" s="353"/>
      <c r="X26" s="411"/>
      <c r="Y26" s="410"/>
      <c r="Z26" s="410"/>
      <c r="AA26" s="410"/>
      <c r="AB26" s="410"/>
      <c r="AC26" s="410"/>
      <c r="AD26" s="410"/>
      <c r="AE26" s="410"/>
      <c r="AF26" s="410"/>
      <c r="AG26" s="410"/>
    </row>
    <row r="27" spans="1:33" ht="23.25" customHeight="1">
      <c r="A27" s="386"/>
      <c r="B27" s="163" t="s">
        <v>38</v>
      </c>
      <c r="C27" s="164"/>
      <c r="D27" s="235">
        <v>50</v>
      </c>
      <c r="E27" s="236">
        <v>300</v>
      </c>
      <c r="F27" s="227">
        <v>300</v>
      </c>
      <c r="G27" s="140">
        <f t="shared" si="2"/>
        <v>0</v>
      </c>
      <c r="H27" s="389"/>
      <c r="I27" s="363"/>
      <c r="J27" s="195">
        <v>300</v>
      </c>
      <c r="K27" s="141">
        <v>300</v>
      </c>
      <c r="L27" s="146">
        <f t="shared" si="1"/>
        <v>0</v>
      </c>
      <c r="M27" s="347"/>
      <c r="N27" s="363"/>
      <c r="O27" s="353"/>
      <c r="P27" s="353"/>
      <c r="Q27" s="353"/>
      <c r="R27" s="147">
        <f t="shared" si="0"/>
        <v>0</v>
      </c>
      <c r="S27" s="347"/>
      <c r="T27" s="353"/>
      <c r="U27" s="353"/>
      <c r="V27" s="353"/>
      <c r="W27" s="353"/>
      <c r="X27" s="411"/>
      <c r="Y27" s="410"/>
      <c r="Z27" s="410"/>
      <c r="AA27" s="410"/>
      <c r="AB27" s="410"/>
      <c r="AC27" s="410"/>
      <c r="AD27" s="410"/>
      <c r="AE27" s="410"/>
      <c r="AF27" s="410"/>
      <c r="AG27" s="410"/>
    </row>
    <row r="28" spans="1:33" ht="23.25" customHeight="1">
      <c r="A28" s="386"/>
      <c r="B28" s="163" t="s">
        <v>39</v>
      </c>
      <c r="C28" s="164"/>
      <c r="D28" s="235">
        <v>1</v>
      </c>
      <c r="E28" s="236">
        <v>3</v>
      </c>
      <c r="F28" s="228">
        <v>3</v>
      </c>
      <c r="G28" s="140">
        <f t="shared" si="2"/>
        <v>0</v>
      </c>
      <c r="H28" s="389"/>
      <c r="I28" s="363"/>
      <c r="J28" s="165">
        <v>3</v>
      </c>
      <c r="K28" s="141">
        <v>3</v>
      </c>
      <c r="L28" s="146">
        <f t="shared" si="1"/>
        <v>0</v>
      </c>
      <c r="M28" s="347"/>
      <c r="N28" s="363"/>
      <c r="O28" s="353"/>
      <c r="P28" s="353"/>
      <c r="Q28" s="353"/>
      <c r="R28" s="147">
        <f t="shared" si="0"/>
        <v>0</v>
      </c>
      <c r="S28" s="347"/>
      <c r="T28" s="353"/>
      <c r="U28" s="353"/>
      <c r="V28" s="353"/>
      <c r="W28" s="353"/>
      <c r="X28" s="411"/>
      <c r="Y28" s="410"/>
      <c r="Z28" s="410"/>
      <c r="AA28" s="410"/>
      <c r="AB28" s="410"/>
      <c r="AC28" s="410"/>
      <c r="AD28" s="410"/>
      <c r="AE28" s="410"/>
      <c r="AF28" s="410"/>
      <c r="AG28" s="410"/>
    </row>
    <row r="29" spans="1:33" ht="23.25" customHeight="1">
      <c r="A29" s="386"/>
      <c r="B29" s="163" t="s">
        <v>44</v>
      </c>
      <c r="C29" s="164"/>
      <c r="D29" s="235">
        <v>0.5</v>
      </c>
      <c r="E29" s="236">
        <v>2</v>
      </c>
      <c r="F29" s="228">
        <v>2</v>
      </c>
      <c r="G29" s="140">
        <f t="shared" si="2"/>
        <v>0</v>
      </c>
      <c r="H29" s="389"/>
      <c r="I29" s="363"/>
      <c r="J29" s="165">
        <v>2</v>
      </c>
      <c r="K29" s="141">
        <v>2</v>
      </c>
      <c r="L29" s="146">
        <f t="shared" si="1"/>
        <v>0</v>
      </c>
      <c r="M29" s="347"/>
      <c r="N29" s="363"/>
      <c r="O29" s="353"/>
      <c r="P29" s="353"/>
      <c r="Q29" s="353"/>
      <c r="R29" s="147">
        <f t="shared" si="0"/>
        <v>0</v>
      </c>
      <c r="S29" s="347"/>
      <c r="T29" s="353"/>
      <c r="U29" s="353"/>
      <c r="V29" s="353"/>
      <c r="W29" s="353"/>
      <c r="X29" s="411"/>
      <c r="Y29" s="410"/>
      <c r="Z29" s="410"/>
      <c r="AA29" s="410"/>
      <c r="AB29" s="410"/>
      <c r="AC29" s="410"/>
      <c r="AD29" s="410"/>
      <c r="AE29" s="410"/>
      <c r="AF29" s="410"/>
      <c r="AG29" s="410"/>
    </row>
    <row r="30" spans="1:33" ht="23.25" customHeight="1">
      <c r="A30" s="386"/>
      <c r="B30" s="163" t="s">
        <v>45</v>
      </c>
      <c r="C30" s="164"/>
      <c r="D30" s="235">
        <v>10</v>
      </c>
      <c r="E30" s="236">
        <v>50</v>
      </c>
      <c r="F30" s="228">
        <v>30</v>
      </c>
      <c r="G30" s="140">
        <f t="shared" si="2"/>
        <v>0</v>
      </c>
      <c r="H30" s="389"/>
      <c r="I30" s="363"/>
      <c r="J30" s="165">
        <v>30</v>
      </c>
      <c r="K30" s="141">
        <v>30</v>
      </c>
      <c r="L30" s="146">
        <f t="shared" si="1"/>
        <v>0</v>
      </c>
      <c r="M30" s="347"/>
      <c r="N30" s="363"/>
      <c r="O30" s="353"/>
      <c r="P30" s="353"/>
      <c r="Q30" s="353"/>
      <c r="R30" s="147">
        <f t="shared" si="0"/>
        <v>0</v>
      </c>
      <c r="S30" s="347"/>
      <c r="T30" s="353"/>
      <c r="U30" s="353"/>
      <c r="V30" s="353"/>
      <c r="W30" s="353"/>
      <c r="X30" s="411"/>
      <c r="Y30" s="410"/>
      <c r="Z30" s="410"/>
      <c r="AA30" s="410"/>
      <c r="AB30" s="410"/>
      <c r="AC30" s="410"/>
      <c r="AD30" s="410"/>
      <c r="AE30" s="410"/>
      <c r="AF30" s="410"/>
      <c r="AG30" s="410"/>
    </row>
    <row r="31" spans="1:33" ht="23.25" customHeight="1">
      <c r="A31" s="386"/>
      <c r="B31" s="163" t="s">
        <v>40</v>
      </c>
      <c r="C31" s="164"/>
      <c r="D31" s="235">
        <v>50</v>
      </c>
      <c r="E31" s="236">
        <v>200</v>
      </c>
      <c r="F31" s="228">
        <v>200</v>
      </c>
      <c r="G31" s="140">
        <f t="shared" si="2"/>
        <v>0</v>
      </c>
      <c r="H31" s="389"/>
      <c r="I31" s="363"/>
      <c r="J31" s="165">
        <v>200</v>
      </c>
      <c r="K31" s="141">
        <v>200</v>
      </c>
      <c r="L31" s="146">
        <f t="shared" si="1"/>
        <v>0</v>
      </c>
      <c r="M31" s="347"/>
      <c r="N31" s="363"/>
      <c r="O31" s="353"/>
      <c r="P31" s="353"/>
      <c r="Q31" s="353"/>
      <c r="R31" s="147">
        <f t="shared" si="0"/>
        <v>0</v>
      </c>
      <c r="S31" s="347"/>
      <c r="T31" s="353"/>
      <c r="U31" s="353"/>
      <c r="V31" s="353"/>
      <c r="W31" s="353"/>
      <c r="X31" s="411"/>
      <c r="Y31" s="410"/>
      <c r="Z31" s="410"/>
      <c r="AA31" s="410"/>
      <c r="AB31" s="410"/>
      <c r="AC31" s="410"/>
      <c r="AD31" s="410"/>
      <c r="AE31" s="410"/>
      <c r="AF31" s="410"/>
      <c r="AG31" s="410"/>
    </row>
    <row r="32" spans="1:33" ht="23.25" customHeight="1">
      <c r="A32" s="386"/>
      <c r="B32" s="163" t="s">
        <v>41</v>
      </c>
      <c r="C32" s="164"/>
      <c r="D32" s="235">
        <v>50</v>
      </c>
      <c r="E32" s="236">
        <v>140</v>
      </c>
      <c r="F32" s="228">
        <v>80</v>
      </c>
      <c r="G32" s="140">
        <f t="shared" si="2"/>
        <v>0</v>
      </c>
      <c r="H32" s="389"/>
      <c r="I32" s="363"/>
      <c r="J32" s="165">
        <v>80</v>
      </c>
      <c r="K32" s="141">
        <v>80</v>
      </c>
      <c r="L32" s="146">
        <f t="shared" si="1"/>
        <v>0</v>
      </c>
      <c r="M32" s="347"/>
      <c r="N32" s="363"/>
      <c r="O32" s="353"/>
      <c r="P32" s="353"/>
      <c r="Q32" s="353"/>
      <c r="R32" s="147">
        <f t="shared" si="0"/>
        <v>0</v>
      </c>
      <c r="S32" s="347"/>
      <c r="T32" s="353"/>
      <c r="U32" s="353"/>
      <c r="V32" s="353"/>
      <c r="W32" s="353"/>
      <c r="X32" s="411"/>
      <c r="Y32" s="410"/>
      <c r="Z32" s="410"/>
      <c r="AA32" s="410"/>
      <c r="AB32" s="410"/>
      <c r="AC32" s="410"/>
      <c r="AD32" s="410"/>
      <c r="AE32" s="410"/>
      <c r="AF32" s="410"/>
      <c r="AG32" s="410"/>
    </row>
    <row r="33" spans="1:33" ht="23.25" customHeight="1">
      <c r="A33" s="386"/>
      <c r="B33" s="163" t="s">
        <v>42</v>
      </c>
      <c r="C33" s="164"/>
      <c r="D33" s="235">
        <v>150</v>
      </c>
      <c r="E33" s="236">
        <v>300</v>
      </c>
      <c r="F33" s="228">
        <v>300</v>
      </c>
      <c r="G33" s="140">
        <f t="shared" si="2"/>
        <v>0</v>
      </c>
      <c r="H33" s="389"/>
      <c r="I33" s="363"/>
      <c r="J33" s="165">
        <v>300</v>
      </c>
      <c r="K33" s="141">
        <v>300</v>
      </c>
      <c r="L33" s="146">
        <f t="shared" si="1"/>
        <v>0</v>
      </c>
      <c r="M33" s="347"/>
      <c r="N33" s="363"/>
      <c r="O33" s="353"/>
      <c r="P33" s="353"/>
      <c r="Q33" s="353"/>
      <c r="R33" s="147">
        <f t="shared" si="0"/>
        <v>0</v>
      </c>
      <c r="S33" s="347"/>
      <c r="T33" s="353"/>
      <c r="U33" s="353"/>
      <c r="V33" s="353"/>
      <c r="W33" s="353"/>
      <c r="X33" s="411"/>
      <c r="Y33" s="410"/>
      <c r="Z33" s="410"/>
      <c r="AA33" s="410"/>
      <c r="AB33" s="410"/>
      <c r="AC33" s="410"/>
      <c r="AD33" s="410"/>
      <c r="AE33" s="410"/>
      <c r="AF33" s="410"/>
      <c r="AG33" s="410"/>
    </row>
    <row r="34" spans="1:33" ht="23.25" customHeight="1">
      <c r="A34" s="386"/>
      <c r="B34" s="163" t="s">
        <v>43</v>
      </c>
      <c r="C34" s="164"/>
      <c r="D34" s="235">
        <v>30</v>
      </c>
      <c r="E34" s="236">
        <v>75</v>
      </c>
      <c r="F34" s="228">
        <v>33</v>
      </c>
      <c r="G34" s="140">
        <f t="shared" si="2"/>
        <v>0</v>
      </c>
      <c r="H34" s="389"/>
      <c r="I34" s="363"/>
      <c r="J34" s="165">
        <v>79</v>
      </c>
      <c r="K34" s="141">
        <v>37.182000000000002</v>
      </c>
      <c r="L34" s="146">
        <f t="shared" si="1"/>
        <v>0</v>
      </c>
      <c r="M34" s="347"/>
      <c r="N34" s="363"/>
      <c r="O34" s="353"/>
      <c r="P34" s="353"/>
      <c r="Q34" s="353"/>
      <c r="R34" s="147">
        <f t="shared" si="0"/>
        <v>1</v>
      </c>
      <c r="S34" s="347"/>
      <c r="T34" s="353"/>
      <c r="U34" s="353"/>
      <c r="V34" s="353"/>
      <c r="W34" s="353"/>
      <c r="X34" s="411"/>
      <c r="Y34" s="410"/>
      <c r="Z34" s="410"/>
      <c r="AA34" s="410"/>
      <c r="AB34" s="410"/>
      <c r="AC34" s="410"/>
      <c r="AD34" s="410"/>
      <c r="AE34" s="410"/>
      <c r="AF34" s="410"/>
      <c r="AG34" s="410"/>
    </row>
    <row r="35" spans="1:33" ht="23.25" customHeight="1">
      <c r="A35" s="386"/>
      <c r="B35" s="160" t="s">
        <v>17</v>
      </c>
      <c r="C35" s="161" t="s">
        <v>23</v>
      </c>
      <c r="D35" s="238">
        <v>1000</v>
      </c>
      <c r="E35" s="239">
        <v>5000</v>
      </c>
      <c r="F35" s="166">
        <v>3000</v>
      </c>
      <c r="G35" s="140">
        <f t="shared" si="2"/>
        <v>0</v>
      </c>
      <c r="H35" s="389"/>
      <c r="I35" s="363"/>
      <c r="J35" s="166">
        <v>3000</v>
      </c>
      <c r="K35" s="141">
        <v>3000</v>
      </c>
      <c r="L35" s="146">
        <f t="shared" si="1"/>
        <v>0</v>
      </c>
      <c r="M35" s="347"/>
      <c r="N35" s="363"/>
      <c r="O35" s="353"/>
      <c r="P35" s="353"/>
      <c r="Q35" s="353"/>
      <c r="R35" s="147">
        <f t="shared" si="0"/>
        <v>0</v>
      </c>
      <c r="S35" s="347"/>
      <c r="T35" s="353"/>
      <c r="U35" s="353"/>
      <c r="V35" s="353"/>
      <c r="W35" s="353"/>
      <c r="X35" s="411"/>
      <c r="Y35" s="410"/>
      <c r="Z35" s="410"/>
      <c r="AA35" s="410"/>
      <c r="AB35" s="410"/>
      <c r="AC35" s="410"/>
      <c r="AD35" s="410"/>
      <c r="AE35" s="410"/>
      <c r="AF35" s="410"/>
      <c r="AG35" s="410"/>
    </row>
    <row r="36" spans="1:33" ht="23.25" customHeight="1" thickBot="1">
      <c r="A36" s="387"/>
      <c r="B36" s="167" t="s">
        <v>16</v>
      </c>
      <c r="C36" s="168" t="s">
        <v>23</v>
      </c>
      <c r="D36" s="249">
        <v>200</v>
      </c>
      <c r="E36" s="250">
        <v>3000</v>
      </c>
      <c r="F36" s="224">
        <v>250</v>
      </c>
      <c r="G36" s="169">
        <f t="shared" si="2"/>
        <v>0</v>
      </c>
      <c r="H36" s="390"/>
      <c r="I36" s="364"/>
      <c r="J36" s="154">
        <v>250</v>
      </c>
      <c r="K36" s="154">
        <v>250</v>
      </c>
      <c r="L36" s="155">
        <f t="shared" si="1"/>
        <v>0</v>
      </c>
      <c r="M36" s="348"/>
      <c r="N36" s="364"/>
      <c r="O36" s="354"/>
      <c r="P36" s="354"/>
      <c r="Q36" s="354"/>
      <c r="R36" s="156">
        <f t="shared" si="0"/>
        <v>0</v>
      </c>
      <c r="S36" s="348"/>
      <c r="T36" s="354"/>
      <c r="U36" s="354"/>
      <c r="V36" s="354"/>
      <c r="W36" s="354"/>
      <c r="X36" s="411"/>
      <c r="Y36" s="410"/>
      <c r="Z36" s="410"/>
      <c r="AA36" s="410"/>
      <c r="AB36" s="410"/>
      <c r="AC36" s="410"/>
      <c r="AD36" s="410"/>
      <c r="AE36" s="410"/>
      <c r="AF36" s="410"/>
      <c r="AG36" s="410"/>
    </row>
    <row r="37" spans="1:33" ht="18.75" customHeight="1">
      <c r="A37" s="394" t="s">
        <v>269</v>
      </c>
      <c r="B37" s="394"/>
      <c r="C37" s="394" t="s">
        <v>268</v>
      </c>
      <c r="D37" s="34">
        <v>0</v>
      </c>
      <c r="E37" s="111">
        <v>55</v>
      </c>
      <c r="F37" s="178">
        <v>20</v>
      </c>
      <c r="G37" s="185">
        <f t="shared" si="2"/>
        <v>0</v>
      </c>
      <c r="H37" s="376">
        <f>AVERAGE(G37:G38)</f>
        <v>0</v>
      </c>
      <c r="I37" s="349" t="str">
        <f>IF(H37&lt;=0.5,"Faible",IF(H37&lt;=1,"Moyenne","Forte"))</f>
        <v>Faible</v>
      </c>
      <c r="J37" s="178">
        <v>22</v>
      </c>
      <c r="K37" s="141">
        <v>20.181999999999999</v>
      </c>
      <c r="L37" s="221">
        <f t="shared" si="1"/>
        <v>0</v>
      </c>
      <c r="M37" s="346">
        <f>AVERAGE(L36:L37)</f>
        <v>0</v>
      </c>
      <c r="N37" s="349" t="str">
        <f>IF(M37&lt;=0.5,"Faible",IF(M37&lt;=1,"Moyenne","Forte"))</f>
        <v>Faible</v>
      </c>
      <c r="O37" s="352" t="str">
        <f>IF(AND(N37="FORTE",I37="FORTE"),"FORTE",
 IF(AND(N37="FORTE",I37="MOYENNE"),"FORTE",
 IF(AND(N37="FORTE",I37="FAIBLE"),"MOYENNE",
 IF(AND(N37="MOYENNE",I37="FORTE"),"FORTE",
 IF(AND(N37="MOYENNE",I37="MOYENNE"),"MOYENNE",
 IF(AND(N37="MOYENNE",I37="FAIBLE"),"FAIBLE",
 IF(AND(N37="FAIBLE",I37="FORTE"),"MOYENNE",
 IF(AND(N37="FAIBLE",I37="MOYENNE"),"FAIBLE",
 IF(AND(N37="FAIBLE",I37="FAIBLE"),"FAIBLE","Erreur")))))))))</f>
        <v>FAIBLE</v>
      </c>
      <c r="P37" s="352" t="s">
        <v>59</v>
      </c>
      <c r="Q37" s="352">
        <f>IF(P37="Ponctuelle",0,
IF(P37="Locale",0.5,
IF(P37="Régionale",1.25,
IF(P37="Nationale",2,
""))))</f>
        <v>2</v>
      </c>
      <c r="R37" s="179">
        <f t="shared" si="0"/>
        <v>0</v>
      </c>
      <c r="S37" s="346">
        <f>AVERAGE(R37:R38)</f>
        <v>0</v>
      </c>
      <c r="T37" s="352" t="str">
        <f>IF(S37&lt;=1,"FAIBLE",IF(S37=2,"MOYENNE","FORTE"))</f>
        <v>FAIBLE</v>
      </c>
      <c r="U37" s="352" t="str">
        <f>IF(O37="ABSOLUE","Inadmissible",
IF(O37="Forte",
    IF(T37="Forte",
        IF(OR(P37="Nationale",P37="Régionale",P37="Locale"),"Majeure","Moyenne"),
    IF(T37="Moyenne",
        IF(OR(P37="Nationale",P37="Régionale"),"Majeure","Moyenne"),
    IF(T37="Faible",
        IF(OR(P37="Nationale",P37="Régionale"),"Majeure","Mineure"),
    ""))),
IF(O37="Moyenne",
    IF(T37="Forte",
        IF(P37="Nationale","Majeure",
        IF(P37="Régionale","Moyenne","Moyenne")),
    IF(T37="Moyenne","Moyenne",
    IF(T37="Faible",
        IF(OR(P37="Nationale",P37="Régionale"),"Moyenne","Mineure"),
    ""))),
IF(O37="Faible",
    IF(T37="Forte",
        IF(OR(P37="Nationale",P37="Régionale"),"Moyenne","Mineure"),
    IF(T37="Moyenne","Mineure",
    "Mineure")),
IF(O37="Très Faible",
    IF(T37="Forte","Mineure",
    "Mineure à nulle"))))))</f>
        <v>Mineure</v>
      </c>
      <c r="V37" s="352" t="s">
        <v>220</v>
      </c>
      <c r="W37" s="352" t="str">
        <f>IF(OR(U37="Mineure",U37="Mineure à nulle"),"Mineure",
 IF(U37="Moyenne",
    IF(V37="Courte","Mineure","Moyenne"),
 IF(U37="Majeure",
    IF(V37="Courte","Moyenne","Majeure"),
 "")))</f>
        <v>Mineure</v>
      </c>
      <c r="X37" s="411"/>
      <c r="Y37" s="410"/>
      <c r="Z37" s="410" t="s">
        <v>211</v>
      </c>
      <c r="AA37" s="410"/>
      <c r="AB37" s="410"/>
      <c r="AC37" s="410"/>
      <c r="AD37" s="410"/>
      <c r="AE37" s="410" t="s">
        <v>211</v>
      </c>
      <c r="AF37" s="410"/>
      <c r="AG37" s="410"/>
    </row>
    <row r="38" spans="1:33" ht="30" customHeight="1" thickBot="1">
      <c r="A38" s="395"/>
      <c r="B38" s="395"/>
      <c r="C38" s="395"/>
      <c r="D38" s="262">
        <v>0</v>
      </c>
      <c r="E38" s="263">
        <v>65</v>
      </c>
      <c r="F38" s="264">
        <v>20</v>
      </c>
      <c r="G38" s="265">
        <f t="shared" si="2"/>
        <v>0</v>
      </c>
      <c r="H38" s="378"/>
      <c r="I38" s="351"/>
      <c r="J38" s="264">
        <v>29</v>
      </c>
      <c r="K38" s="169">
        <v>20.818000000000001</v>
      </c>
      <c r="L38" s="155" t="e">
        <f t="shared" si="1"/>
        <v>#VALUE!</v>
      </c>
      <c r="M38" s="348"/>
      <c r="N38" s="351"/>
      <c r="O38" s="354"/>
      <c r="P38" s="354"/>
      <c r="Q38" s="354"/>
      <c r="R38" s="156">
        <f t="shared" si="0"/>
        <v>0</v>
      </c>
      <c r="S38" s="348"/>
      <c r="T38" s="354"/>
      <c r="U38" s="354"/>
      <c r="V38" s="354"/>
      <c r="W38" s="354"/>
      <c r="X38" s="411"/>
      <c r="Y38" s="410"/>
      <c r="Z38" s="410"/>
      <c r="AA38" s="410"/>
      <c r="AB38" s="410"/>
      <c r="AC38" s="410"/>
      <c r="AD38" s="410"/>
      <c r="AE38" s="410"/>
      <c r="AF38" s="410"/>
      <c r="AG38" s="410"/>
    </row>
    <row r="39" spans="1:33" ht="33" customHeight="1" thickBot="1">
      <c r="A39" s="247" t="s">
        <v>270</v>
      </c>
      <c r="B39" s="247" t="s">
        <v>271</v>
      </c>
      <c r="C39" s="247"/>
      <c r="D39" s="252" t="s">
        <v>272</v>
      </c>
      <c r="E39" s="247" t="s">
        <v>273</v>
      </c>
      <c r="F39" s="253" t="s">
        <v>273</v>
      </c>
      <c r="G39" s="185">
        <f>IF(F39=D39,0,IF(F39=E39,2))</f>
        <v>2</v>
      </c>
      <c r="H39" s="246">
        <f>G39</f>
        <v>2</v>
      </c>
      <c r="I39" s="187" t="str">
        <f>IF(H39&lt;=0.5,"Faible",IF(H39&lt;=1,"Moyenne","Forte"))</f>
        <v>Forte</v>
      </c>
      <c r="J39" s="257"/>
      <c r="K39" s="268">
        <v>0</v>
      </c>
      <c r="L39" s="269"/>
      <c r="M39" s="254"/>
      <c r="N39" s="255"/>
      <c r="O39" s="256"/>
      <c r="P39" s="256"/>
      <c r="Q39" s="256"/>
      <c r="R39" s="270"/>
      <c r="S39" s="254"/>
      <c r="T39" s="256"/>
      <c r="U39" s="256"/>
      <c r="V39" s="256"/>
      <c r="W39" s="208" t="str">
        <f>IF(G39=0, "Impact positif", "Mineure")</f>
        <v>Mineure</v>
      </c>
      <c r="X39" s="411"/>
      <c r="Y39" s="410"/>
      <c r="Z39" s="410"/>
      <c r="AA39" s="410"/>
      <c r="AB39" s="410"/>
      <c r="AC39" s="410"/>
      <c r="AD39" s="410"/>
      <c r="AE39" s="410"/>
      <c r="AF39" s="410"/>
      <c r="AG39" s="410"/>
    </row>
    <row r="40" spans="1:33" ht="24" customHeight="1">
      <c r="A40" s="391" t="s">
        <v>35</v>
      </c>
      <c r="B40" s="170" t="s">
        <v>24</v>
      </c>
      <c r="C40" s="171" t="s">
        <v>25</v>
      </c>
      <c r="D40" s="251">
        <v>0</v>
      </c>
      <c r="E40" s="251">
        <v>0.23</v>
      </c>
      <c r="F40" s="229">
        <v>3</v>
      </c>
      <c r="G40" s="172">
        <f t="shared" ref="G40:G56" si="3">IF(AND(F40&gt;=D40,F40&lt;=E40),0,IF(AND(F40&gt;=D40*0.8,F40&lt;=E40*1.2),1,2))</f>
        <v>2</v>
      </c>
      <c r="H40" s="376">
        <v>1.86</v>
      </c>
      <c r="I40" s="352" t="str">
        <f>IF(H40&lt;=0.5,"Faible",IF(H40&lt;=1,"Moyenne","Forte"))</f>
        <v>Forte</v>
      </c>
      <c r="J40" s="172">
        <v>1</v>
      </c>
      <c r="K40" s="141">
        <v>2.8180000000000001</v>
      </c>
      <c r="L40" s="221">
        <f t="shared" ref="L40:L58" si="4">IF(AND(K41&gt;=D41,K41&lt;=E41),0,IF(AND(K41&gt;=D41*0.8,K41&lt;=E41*1.2),1,2))</f>
        <v>1</v>
      </c>
      <c r="M40" s="346">
        <f>AVERAGE(L39:L45)</f>
        <v>1.6666666666666667</v>
      </c>
      <c r="N40" s="352" t="str">
        <f>IF(M40&lt;=0.5,"Faible",IF(M40&lt;=1,"Moyenne","Forte"))</f>
        <v>Forte</v>
      </c>
      <c r="O40" s="352" t="str">
        <f>IF(AND(N40="FORTE",I40="FORTE"),"FORTE",
 IF(AND(N40="FORTE",I40="MOYENNE"),"FORTE",
 IF(AND(N40="FORTE",I40="FAIBLE"),"MOYENNE",
 IF(AND(N40="MOYENNE",I40="FORTE"),"FORTE",
 IF(AND(N40="MOYENNE",I40="MOYENNE"),"MOYENNE",
 IF(AND(N40="MOYENNE",I40="FAIBLE"),"FAIBLE",
 IF(AND(N40="FAIBLE",I40="FORTE"),"MOYENNE",
 IF(AND(N40="FAIBLE",I40="MOYENNE"),"FAIBLE",
 IF(AND(N40="FAIBLE",I40="FAIBLE"),"FAIBLE","Erreur")))))))))</f>
        <v>FORTE</v>
      </c>
      <c r="P40" s="352" t="s">
        <v>277</v>
      </c>
      <c r="Q40" s="352">
        <f>IF(P40="Ponctuelle",0,
IF(P40="Locale",0.5,
IF(P40="Régionale",1.25,
IF(P40="Nationale",2,
""))))</f>
        <v>0</v>
      </c>
      <c r="R40" s="173">
        <f t="shared" ref="R40:R56" si="5">IF(AND(J40&gt;=D40,J40&lt;=E40),0,IF(AND(J40&gt;=D40*0.8,J40&lt;=E40*1.2),1,2))</f>
        <v>2</v>
      </c>
      <c r="S40" s="346">
        <f>AVERAGE(R40:R46)</f>
        <v>1.5714285714285714</v>
      </c>
      <c r="T40" s="381" t="str">
        <f>IF(S40&lt;=1,"FAIBLE",IF(S40=2,"MOYENNE","FORTE"))</f>
        <v>FORTE</v>
      </c>
      <c r="U40" s="352" t="str">
        <f>IF(O40="ABSOLUE","Inadmissible",
IF(O40="Forte",
    IF(T40="Forte",
        IF(OR(P40="Nationale",P40="Régionale",P40="Locale"),"Majeure","Moyenne"),
    IF(T40="Moyenne",
        IF(OR(P40="Nationale",P40="Régionale"),"Majeure","Moyenne"),
    IF(T40="Faible",
        IF(OR(P40="Nationale",P40="Régionale"),"Majeure","Mineure"),
    ""))),
IF(O40="Moyenne",
    IF(T40="Forte",
        IF(P40="Nationale","Majeure",
        IF(P40="Régionale","Moyenne","Moyenne")),
    IF(T40="Moyenne","Moyenne",
    IF(T40="Faible",
        IF(OR(P40="Nationale",P40="Régionale"),"Moyenne","Mineure"),
    ""))),
IF(O40="Faible",
    IF(T40="Forte",
        IF(OR(P40="Nationale",P40="Régionale"),"Moyenne","Mineure"),
    IF(T40="Moyenne","Mineure",
    "Mineure")),
IF(O40="Très Faible",
    IF(T40="Forte","Mineure",
    "Mineure à nulle"))))))</f>
        <v>Moyenne</v>
      </c>
      <c r="V40" s="352" t="s">
        <v>240</v>
      </c>
      <c r="W40" s="352" t="str">
        <f>IF(OR(U40="Mineure",U40="Mineure à nulle"),"Mineure",
 IF(U40="Moyenne",
    IF(V40="Courte","Mineure","Moyenne"),
 IF(U40="Majeure",
    IF(V40="Courte","Moyenne","Majeure"),
 "")))</f>
        <v>Moyenne</v>
      </c>
      <c r="X40" s="411"/>
      <c r="Y40" s="410"/>
      <c r="Z40" s="410"/>
      <c r="AA40" s="410"/>
      <c r="AB40" s="410"/>
      <c r="AC40" s="410"/>
      <c r="AD40" s="410"/>
      <c r="AE40" s="410"/>
      <c r="AF40" s="410"/>
      <c r="AG40" s="410"/>
    </row>
    <row r="41" spans="1:33" ht="24" customHeight="1">
      <c r="A41" s="392"/>
      <c r="B41" s="174" t="s">
        <v>26</v>
      </c>
      <c r="C41" s="175" t="s">
        <v>27</v>
      </c>
      <c r="D41" s="174">
        <v>0</v>
      </c>
      <c r="E41" s="174">
        <v>50</v>
      </c>
      <c r="F41" s="151">
        <v>55</v>
      </c>
      <c r="G41" s="141">
        <f t="shared" si="3"/>
        <v>1</v>
      </c>
      <c r="H41" s="377"/>
      <c r="I41" s="353"/>
      <c r="J41" s="141">
        <v>70</v>
      </c>
      <c r="K41" s="141">
        <v>56.363999999999997</v>
      </c>
      <c r="L41" s="146">
        <f t="shared" si="4"/>
        <v>1</v>
      </c>
      <c r="M41" s="347"/>
      <c r="N41" s="353"/>
      <c r="O41" s="353"/>
      <c r="P41" s="353" t="s">
        <v>59</v>
      </c>
      <c r="Q41" s="353"/>
      <c r="R41" s="147">
        <f t="shared" si="5"/>
        <v>2</v>
      </c>
      <c r="S41" s="347"/>
      <c r="T41" s="382"/>
      <c r="U41" s="353"/>
      <c r="V41" s="353"/>
      <c r="W41" s="353"/>
      <c r="X41" s="411"/>
      <c r="Y41" s="410"/>
      <c r="Z41" s="410"/>
      <c r="AA41" s="410"/>
      <c r="AB41" s="410"/>
      <c r="AC41" s="410"/>
      <c r="AD41" s="410"/>
      <c r="AE41" s="410"/>
      <c r="AF41" s="410"/>
      <c r="AG41" s="410"/>
    </row>
    <row r="42" spans="1:33" ht="25.5" customHeight="1">
      <c r="A42" s="392"/>
      <c r="B42" s="174" t="s">
        <v>28</v>
      </c>
      <c r="C42" s="175" t="s">
        <v>27</v>
      </c>
      <c r="D42" s="174">
        <v>0</v>
      </c>
      <c r="E42" s="174">
        <v>25</v>
      </c>
      <c r="F42" s="151">
        <v>29</v>
      </c>
      <c r="G42" s="141">
        <f t="shared" si="3"/>
        <v>1</v>
      </c>
      <c r="H42" s="377"/>
      <c r="I42" s="353"/>
      <c r="J42" s="141">
        <v>30</v>
      </c>
      <c r="K42" s="141">
        <v>29.091000000000001</v>
      </c>
      <c r="L42" s="146">
        <f t="shared" si="4"/>
        <v>2</v>
      </c>
      <c r="M42" s="347"/>
      <c r="N42" s="353"/>
      <c r="O42" s="353"/>
      <c r="P42" s="353" t="s">
        <v>59</v>
      </c>
      <c r="Q42" s="353"/>
      <c r="R42" s="147">
        <f t="shared" si="5"/>
        <v>1</v>
      </c>
      <c r="S42" s="347"/>
      <c r="T42" s="382"/>
      <c r="U42" s="353"/>
      <c r="V42" s="353"/>
      <c r="W42" s="353"/>
      <c r="X42" s="411"/>
      <c r="Y42" s="410"/>
      <c r="Z42" s="410"/>
      <c r="AA42" s="410"/>
      <c r="AB42" s="410"/>
      <c r="AC42" s="410"/>
      <c r="AD42" s="410"/>
      <c r="AE42" s="410"/>
      <c r="AF42" s="410"/>
      <c r="AG42" s="410"/>
    </row>
    <row r="43" spans="1:33" ht="25.5" customHeight="1">
      <c r="A43" s="392"/>
      <c r="B43" s="174" t="s">
        <v>29</v>
      </c>
      <c r="C43" s="175" t="s">
        <v>27</v>
      </c>
      <c r="D43" s="174">
        <v>0</v>
      </c>
      <c r="E43" s="174">
        <v>120</v>
      </c>
      <c r="F43" s="151">
        <v>300</v>
      </c>
      <c r="G43" s="141">
        <f t="shared" si="3"/>
        <v>2</v>
      </c>
      <c r="H43" s="377"/>
      <c r="I43" s="353"/>
      <c r="J43" s="141">
        <v>222</v>
      </c>
      <c r="K43" s="141">
        <v>292.90899999999999</v>
      </c>
      <c r="L43" s="146">
        <f t="shared" si="4"/>
        <v>2</v>
      </c>
      <c r="M43" s="347"/>
      <c r="N43" s="353"/>
      <c r="O43" s="353"/>
      <c r="P43" s="353" t="s">
        <v>59</v>
      </c>
      <c r="Q43" s="353"/>
      <c r="R43" s="147">
        <f t="shared" si="5"/>
        <v>2</v>
      </c>
      <c r="S43" s="347"/>
      <c r="T43" s="382"/>
      <c r="U43" s="353"/>
      <c r="V43" s="353"/>
      <c r="W43" s="353"/>
      <c r="X43" s="411"/>
      <c r="Y43" s="410"/>
      <c r="Z43" s="410"/>
      <c r="AA43" s="410"/>
      <c r="AB43" s="410"/>
      <c r="AC43" s="410"/>
      <c r="AD43" s="410"/>
      <c r="AE43" s="410"/>
      <c r="AF43" s="410"/>
      <c r="AG43" s="410"/>
    </row>
    <row r="44" spans="1:33" ht="39.75" customHeight="1">
      <c r="A44" s="392"/>
      <c r="B44" s="174" t="s">
        <v>30</v>
      </c>
      <c r="C44" s="175" t="s">
        <v>27</v>
      </c>
      <c r="D44" s="174">
        <v>0</v>
      </c>
      <c r="E44" s="174">
        <v>200</v>
      </c>
      <c r="F44" s="151">
        <v>300</v>
      </c>
      <c r="G44" s="141">
        <f t="shared" si="3"/>
        <v>2</v>
      </c>
      <c r="H44" s="377"/>
      <c r="I44" s="353"/>
      <c r="J44" s="141">
        <v>30</v>
      </c>
      <c r="K44" s="141">
        <v>275.45499999999998</v>
      </c>
      <c r="L44" s="146">
        <f t="shared" si="4"/>
        <v>2</v>
      </c>
      <c r="M44" s="347"/>
      <c r="N44" s="353"/>
      <c r="O44" s="353"/>
      <c r="P44" s="353" t="s">
        <v>59</v>
      </c>
      <c r="Q44" s="353"/>
      <c r="R44" s="147">
        <f t="shared" si="5"/>
        <v>0</v>
      </c>
      <c r="S44" s="347"/>
      <c r="T44" s="382"/>
      <c r="U44" s="353"/>
      <c r="V44" s="353"/>
      <c r="W44" s="353"/>
      <c r="X44" s="408" t="s">
        <v>211</v>
      </c>
      <c r="Y44" s="406"/>
      <c r="Z44" s="406"/>
      <c r="AA44" s="406"/>
      <c r="AB44" s="406"/>
      <c r="AC44" s="406" t="s">
        <v>211</v>
      </c>
      <c r="AD44" s="406"/>
      <c r="AE44" s="406"/>
      <c r="AF44" s="406"/>
      <c r="AG44" s="406"/>
    </row>
    <row r="45" spans="1:33" ht="29.25" customHeight="1">
      <c r="A45" s="392"/>
      <c r="B45" s="174" t="s">
        <v>31</v>
      </c>
      <c r="C45" s="175" t="s">
        <v>27</v>
      </c>
      <c r="D45" s="174">
        <v>0</v>
      </c>
      <c r="E45" s="174">
        <v>10000</v>
      </c>
      <c r="F45" s="151">
        <v>20000</v>
      </c>
      <c r="G45" s="141">
        <f t="shared" si="3"/>
        <v>2</v>
      </c>
      <c r="H45" s="377"/>
      <c r="I45" s="353"/>
      <c r="J45" s="141">
        <v>20000</v>
      </c>
      <c r="K45" s="141">
        <v>20000</v>
      </c>
      <c r="L45" s="146">
        <f t="shared" si="4"/>
        <v>2</v>
      </c>
      <c r="M45" s="347"/>
      <c r="N45" s="353"/>
      <c r="O45" s="353"/>
      <c r="P45" s="353" t="s">
        <v>59</v>
      </c>
      <c r="Q45" s="353"/>
      <c r="R45" s="147">
        <f t="shared" si="5"/>
        <v>2</v>
      </c>
      <c r="S45" s="347"/>
      <c r="T45" s="382"/>
      <c r="U45" s="353"/>
      <c r="V45" s="353"/>
      <c r="W45" s="353"/>
      <c r="X45" s="409"/>
      <c r="Y45" s="407"/>
      <c r="Z45" s="407"/>
      <c r="AA45" s="407"/>
      <c r="AB45" s="407"/>
      <c r="AC45" s="407"/>
      <c r="AD45" s="407"/>
      <c r="AE45" s="407"/>
      <c r="AF45" s="407"/>
      <c r="AG45" s="407"/>
    </row>
    <row r="46" spans="1:33" ht="30.75" customHeight="1" thickBot="1">
      <c r="A46" s="393"/>
      <c r="B46" s="260" t="s">
        <v>32</v>
      </c>
      <c r="C46" s="261" t="s">
        <v>27</v>
      </c>
      <c r="D46" s="260">
        <v>0</v>
      </c>
      <c r="E46" s="260">
        <v>120</v>
      </c>
      <c r="F46" s="224">
        <v>300</v>
      </c>
      <c r="G46" s="169">
        <f t="shared" si="3"/>
        <v>2</v>
      </c>
      <c r="H46" s="378"/>
      <c r="I46" s="354"/>
      <c r="J46" s="169">
        <v>10001</v>
      </c>
      <c r="K46" s="154">
        <v>1181.9090000000001</v>
      </c>
      <c r="L46" s="155">
        <f t="shared" si="4"/>
        <v>0</v>
      </c>
      <c r="M46" s="348"/>
      <c r="N46" s="354"/>
      <c r="O46" s="354"/>
      <c r="P46" s="354" t="s">
        <v>59</v>
      </c>
      <c r="Q46" s="354"/>
      <c r="R46" s="156">
        <f t="shared" si="5"/>
        <v>2</v>
      </c>
      <c r="S46" s="348"/>
      <c r="T46" s="383"/>
      <c r="U46" s="354"/>
      <c r="V46" s="354"/>
      <c r="W46" s="354"/>
      <c r="X46" s="409"/>
      <c r="Y46" s="407"/>
      <c r="Z46" s="407"/>
      <c r="AA46" s="407"/>
      <c r="AB46" s="407"/>
      <c r="AC46" s="407"/>
      <c r="AD46" s="407"/>
      <c r="AE46" s="407"/>
      <c r="AF46" s="407"/>
      <c r="AG46" s="407"/>
    </row>
    <row r="47" spans="1:33" ht="31.5" customHeight="1">
      <c r="A47" s="379" t="s">
        <v>242</v>
      </c>
      <c r="B47" s="380" t="s">
        <v>254</v>
      </c>
      <c r="C47" s="124" t="s">
        <v>147</v>
      </c>
      <c r="D47" s="230">
        <v>0</v>
      </c>
      <c r="E47" s="231">
        <v>5</v>
      </c>
      <c r="F47" s="248">
        <v>5.0999999999999996</v>
      </c>
      <c r="G47" s="185">
        <f t="shared" si="3"/>
        <v>1</v>
      </c>
      <c r="H47" s="376">
        <f>AVERAGE(G47:G53)</f>
        <v>0.14285714285714285</v>
      </c>
      <c r="I47" s="349" t="str">
        <f>IF(H47&lt;=0.5,"Faible",IF(H47&lt;=1,"Moyenne","Forte"))</f>
        <v>Faible</v>
      </c>
      <c r="J47" s="248">
        <v>3</v>
      </c>
      <c r="K47" s="141">
        <v>4.9089999999999998</v>
      </c>
      <c r="L47" s="146">
        <f t="shared" si="4"/>
        <v>0</v>
      </c>
      <c r="M47" s="346">
        <f>AVERAGE(L46:L52)</f>
        <v>0</v>
      </c>
      <c r="N47" s="349" t="str">
        <f>IF(M47&lt;=0.5,"Faible",IF(M47&lt;=1,"Moyenne","Forte"))</f>
        <v>Faible</v>
      </c>
      <c r="O47" s="352" t="str">
        <f>IF(AND(N47="FORTE",I47="FORTE"),"FORTE",
 IF(AND(N47="FORTE",I47="MOYENNE"),"FORTE",
 IF(AND(N47="FORTE",I47="FAIBLE"),"MOYENNE",
 IF(AND(N47="MOYENNE",I47="FORTE"),"FORTE",
 IF(AND(N47="MOYENNE",I47="MOYENNE"),"MOYENNE",
 IF(AND(N47="MOYENNE",I47="FAIBLE"),"FAIBLE",
 IF(AND(N47="FAIBLE",I47="FORTE"),"MOYENNE",
 IF(AND(N47="FAIBLE",I47="MOYENNE"),"FAIBLE",
 IF(AND(N47="FAIBLE",I47="FAIBLE"),"FAIBLE","Erreur")))))))))</f>
        <v>FAIBLE</v>
      </c>
      <c r="P47" s="352" t="s">
        <v>57</v>
      </c>
      <c r="Q47" s="352">
        <f>IF(P47="Ponctuelle",0,
IF(P47="Locale",0.5,
IF(P47="Régionale",1.25,
IF(P47="Nationale",2,
""))))</f>
        <v>0.5</v>
      </c>
      <c r="R47" s="173">
        <f t="shared" si="5"/>
        <v>0</v>
      </c>
      <c r="S47" s="346">
        <f>AVERAGE(R47:R53)</f>
        <v>0</v>
      </c>
      <c r="T47" s="381" t="str">
        <f>IF(S47&lt;=1,"FAIBLE",IF(S47=2,"MOYENNE","FORTE"))</f>
        <v>FAIBLE</v>
      </c>
      <c r="U47" s="352" t="str">
        <f>IF(O47="ABSOLUE","Inadmissible",
IF(O47="Forte",
    IF(T47="Forte",
        IF(OR(P47="Nationale",P47="Régionale",P47="Locale"),"Majeure","Moyenne"),
    IF(T47="Moyenne",
        IF(OR(P47="Nationale",P47="Régionale"),"Majeure","Moyenne"),
    IF(T47="Faible",
        IF(OR(P47="Nationale",P47="Régionale"),"Majeure","Mineure"),
    ""))),
IF(O47="Moyenne",
    IF(T47="Forte",
        IF(P47="Nationale","Majeure",
        IF(P47="Régionale","Moyenne","Moyenne")),
    IF(T47="Moyenne","Moyenne",
    IF(T47="Faible",
        IF(OR(P47="Nationale",P47="Régionale"),"Moyenne","Mineure"),
    ""))),
IF(O47="Faible",
    IF(T47="Forte",
        IF(OR(P47="Nationale",P47="Régionale"),"Moyenne","Mineure"),
    IF(T47="Moyenne","Mineure",
    "Mineure")),
IF(O47="Très Faible",
    IF(T47="Forte","Mineure",
    "Mineure à nulle"))))))</f>
        <v>Mineure</v>
      </c>
      <c r="V47" s="352" t="s">
        <v>240</v>
      </c>
      <c r="W47" s="352" t="str">
        <f>IF(OR(U47="Mineure",U47="Mineure à nulle"),"Mineure",
 IF(U47="Moyenne",
    IF(V47="Courte","Mineure","Moyenne"),
 IF(U47="Majeure",
    IF(V47="Courte","Moyenne","Majeure"),
 "")))</f>
        <v>Mineure</v>
      </c>
      <c r="X47" s="409"/>
      <c r="Y47" s="407"/>
      <c r="Z47" s="407"/>
      <c r="AA47" s="407"/>
      <c r="AB47" s="407"/>
      <c r="AC47" s="407"/>
      <c r="AD47" s="407"/>
      <c r="AE47" s="407"/>
      <c r="AF47" s="407"/>
      <c r="AG47" s="407"/>
    </row>
    <row r="48" spans="1:33" ht="30" customHeight="1">
      <c r="A48" s="374"/>
      <c r="B48" s="372"/>
      <c r="C48" s="125" t="s">
        <v>148</v>
      </c>
      <c r="D48" s="33">
        <v>0</v>
      </c>
      <c r="E48" s="33">
        <v>200</v>
      </c>
      <c r="F48" s="180">
        <v>200</v>
      </c>
      <c r="G48" s="185">
        <f t="shared" si="3"/>
        <v>0</v>
      </c>
      <c r="H48" s="377"/>
      <c r="I48" s="350"/>
      <c r="J48" s="180">
        <v>200</v>
      </c>
      <c r="K48" s="141">
        <v>200</v>
      </c>
      <c r="L48" s="146">
        <f t="shared" si="4"/>
        <v>0</v>
      </c>
      <c r="M48" s="347"/>
      <c r="N48" s="350"/>
      <c r="O48" s="353"/>
      <c r="P48" s="353" t="s">
        <v>59</v>
      </c>
      <c r="Q48" s="353"/>
      <c r="R48" s="147">
        <f t="shared" si="5"/>
        <v>0</v>
      </c>
      <c r="S48" s="347"/>
      <c r="T48" s="382"/>
      <c r="U48" s="353"/>
      <c r="V48" s="353"/>
      <c r="W48" s="353"/>
      <c r="X48" s="409"/>
      <c r="Y48" s="407"/>
      <c r="Z48" s="407"/>
      <c r="AA48" s="407"/>
      <c r="AB48" s="407"/>
      <c r="AC48" s="407"/>
      <c r="AD48" s="407"/>
      <c r="AE48" s="407"/>
      <c r="AF48" s="407"/>
      <c r="AG48" s="407"/>
    </row>
    <row r="49" spans="1:33" ht="25.5" customHeight="1">
      <c r="A49" s="374"/>
      <c r="B49" s="371" t="s">
        <v>255</v>
      </c>
      <c r="C49" s="126" t="s">
        <v>147</v>
      </c>
      <c r="D49" s="31">
        <v>0</v>
      </c>
      <c r="E49" s="32">
        <v>5</v>
      </c>
      <c r="F49" s="180">
        <v>5</v>
      </c>
      <c r="G49" s="185">
        <f t="shared" si="3"/>
        <v>0</v>
      </c>
      <c r="H49" s="377"/>
      <c r="I49" s="350"/>
      <c r="J49" s="180">
        <v>5</v>
      </c>
      <c r="K49" s="141">
        <v>5</v>
      </c>
      <c r="L49" s="146">
        <f t="shared" si="4"/>
        <v>0</v>
      </c>
      <c r="M49" s="347"/>
      <c r="N49" s="350"/>
      <c r="O49" s="353"/>
      <c r="P49" s="353" t="s">
        <v>59</v>
      </c>
      <c r="Q49" s="353"/>
      <c r="R49" s="147">
        <f t="shared" si="5"/>
        <v>0</v>
      </c>
      <c r="S49" s="347"/>
      <c r="T49" s="382"/>
      <c r="U49" s="353"/>
      <c r="V49" s="353"/>
      <c r="W49" s="353"/>
      <c r="X49" s="409"/>
      <c r="Y49" s="407"/>
      <c r="Z49" s="407"/>
      <c r="AA49" s="407"/>
      <c r="AB49" s="407"/>
      <c r="AC49" s="407"/>
      <c r="AD49" s="407"/>
      <c r="AE49" s="407"/>
      <c r="AF49" s="407"/>
      <c r="AG49" s="407"/>
    </row>
    <row r="50" spans="1:33" ht="29.25" customHeight="1">
      <c r="A50" s="374"/>
      <c r="B50" s="372"/>
      <c r="C50" s="125" t="s">
        <v>148</v>
      </c>
      <c r="D50" s="33">
        <v>0</v>
      </c>
      <c r="E50" s="33">
        <v>200</v>
      </c>
      <c r="F50" s="180">
        <v>30</v>
      </c>
      <c r="G50" s="185">
        <f t="shared" si="3"/>
        <v>0</v>
      </c>
      <c r="H50" s="377"/>
      <c r="I50" s="350"/>
      <c r="J50" s="180">
        <v>100</v>
      </c>
      <c r="K50" s="141">
        <v>36.363999999999997</v>
      </c>
      <c r="L50" s="146">
        <f t="shared" si="4"/>
        <v>0</v>
      </c>
      <c r="M50" s="347"/>
      <c r="N50" s="350"/>
      <c r="O50" s="353"/>
      <c r="P50" s="353" t="s">
        <v>59</v>
      </c>
      <c r="Q50" s="353"/>
      <c r="R50" s="147">
        <f t="shared" si="5"/>
        <v>0</v>
      </c>
      <c r="S50" s="347"/>
      <c r="T50" s="382"/>
      <c r="U50" s="353"/>
      <c r="V50" s="353"/>
      <c r="W50" s="353"/>
      <c r="X50" s="409"/>
      <c r="Y50" s="407"/>
      <c r="Z50" s="407"/>
      <c r="AA50" s="407"/>
      <c r="AB50" s="407"/>
      <c r="AC50" s="407"/>
      <c r="AD50" s="407"/>
      <c r="AE50" s="407"/>
      <c r="AF50" s="407"/>
      <c r="AG50" s="407"/>
    </row>
    <row r="51" spans="1:33" ht="22.5" customHeight="1">
      <c r="A51" s="374"/>
      <c r="B51" s="371" t="s">
        <v>256</v>
      </c>
      <c r="C51" s="127" t="s">
        <v>149</v>
      </c>
      <c r="D51" s="31">
        <v>0</v>
      </c>
      <c r="E51" s="32">
        <v>61</v>
      </c>
      <c r="F51" s="180">
        <v>20</v>
      </c>
      <c r="G51" s="185">
        <f t="shared" si="3"/>
        <v>0</v>
      </c>
      <c r="H51" s="377"/>
      <c r="I51" s="350"/>
      <c r="J51" s="180">
        <v>22</v>
      </c>
      <c r="K51" s="141">
        <v>20.181999999999999</v>
      </c>
      <c r="L51" s="146">
        <f t="shared" si="4"/>
        <v>0</v>
      </c>
      <c r="M51" s="347"/>
      <c r="N51" s="350"/>
      <c r="O51" s="353"/>
      <c r="P51" s="353" t="s">
        <v>59</v>
      </c>
      <c r="Q51" s="353"/>
      <c r="R51" s="147">
        <f t="shared" si="5"/>
        <v>0</v>
      </c>
      <c r="S51" s="347"/>
      <c r="T51" s="382"/>
      <c r="U51" s="353"/>
      <c r="V51" s="353"/>
      <c r="W51" s="353"/>
      <c r="X51" s="409"/>
      <c r="Y51" s="407"/>
      <c r="Z51" s="407"/>
      <c r="AA51" s="407"/>
      <c r="AB51" s="407"/>
      <c r="AC51" s="407"/>
      <c r="AD51" s="407"/>
      <c r="AE51" s="407"/>
      <c r="AF51" s="407"/>
      <c r="AG51" s="407"/>
    </row>
    <row r="52" spans="1:33" ht="33.75" customHeight="1">
      <c r="A52" s="374"/>
      <c r="B52" s="372"/>
      <c r="C52" s="128" t="s">
        <v>150</v>
      </c>
      <c r="D52" s="33">
        <v>0</v>
      </c>
      <c r="E52" s="33">
        <v>10</v>
      </c>
      <c r="F52" s="180">
        <v>10</v>
      </c>
      <c r="G52" s="185">
        <f t="shared" si="3"/>
        <v>0</v>
      </c>
      <c r="H52" s="377"/>
      <c r="I52" s="350"/>
      <c r="J52" s="180">
        <v>3</v>
      </c>
      <c r="K52" s="141">
        <v>9.3640000000000008</v>
      </c>
      <c r="L52" s="146">
        <f t="shared" si="4"/>
        <v>0</v>
      </c>
      <c r="M52" s="347"/>
      <c r="N52" s="350"/>
      <c r="O52" s="353"/>
      <c r="P52" s="353" t="s">
        <v>59</v>
      </c>
      <c r="Q52" s="353"/>
      <c r="R52" s="147">
        <f t="shared" si="5"/>
        <v>0</v>
      </c>
      <c r="S52" s="347"/>
      <c r="T52" s="382"/>
      <c r="U52" s="353"/>
      <c r="V52" s="353"/>
      <c r="W52" s="353"/>
      <c r="X52" s="409"/>
      <c r="Y52" s="407"/>
      <c r="Z52" s="407"/>
      <c r="AA52" s="407"/>
      <c r="AB52" s="407"/>
      <c r="AC52" s="407"/>
      <c r="AD52" s="407"/>
      <c r="AE52" s="407"/>
      <c r="AF52" s="407"/>
      <c r="AG52" s="407"/>
    </row>
    <row r="53" spans="1:33" ht="33.75" customHeight="1" thickBot="1">
      <c r="A53" s="375"/>
      <c r="B53" s="106" t="s">
        <v>265</v>
      </c>
      <c r="C53" s="129" t="s">
        <v>266</v>
      </c>
      <c r="D53" s="245">
        <v>0</v>
      </c>
      <c r="E53" s="240">
        <v>5</v>
      </c>
      <c r="F53" s="181">
        <v>0</v>
      </c>
      <c r="G53" s="190">
        <f t="shared" si="3"/>
        <v>0</v>
      </c>
      <c r="H53" s="378"/>
      <c r="I53" s="351"/>
      <c r="J53" s="181">
        <v>4</v>
      </c>
      <c r="K53" s="190">
        <v>0.36399999999999999</v>
      </c>
      <c r="L53" s="176">
        <f t="shared" si="4"/>
        <v>0</v>
      </c>
      <c r="M53" s="348"/>
      <c r="N53" s="351"/>
      <c r="O53" s="354"/>
      <c r="P53" s="354" t="s">
        <v>59</v>
      </c>
      <c r="Q53" s="354"/>
      <c r="R53" s="176">
        <f t="shared" si="5"/>
        <v>0</v>
      </c>
      <c r="S53" s="348"/>
      <c r="T53" s="383"/>
      <c r="U53" s="354"/>
      <c r="V53" s="354"/>
      <c r="W53" s="354"/>
      <c r="X53" s="409"/>
      <c r="Y53" s="407"/>
      <c r="Z53" s="407"/>
      <c r="AA53" s="407"/>
      <c r="AB53" s="407"/>
      <c r="AC53" s="407"/>
      <c r="AD53" s="407"/>
      <c r="AE53" s="407"/>
      <c r="AF53" s="407"/>
      <c r="AG53" s="407"/>
    </row>
    <row r="54" spans="1:33" ht="50.25" customHeight="1">
      <c r="A54" s="373" t="s">
        <v>85</v>
      </c>
      <c r="B54" s="110" t="s">
        <v>146</v>
      </c>
      <c r="C54" s="197" t="s">
        <v>25</v>
      </c>
      <c r="D54" s="243">
        <v>0</v>
      </c>
      <c r="E54" s="244" t="s">
        <v>267</v>
      </c>
      <c r="F54" s="198">
        <v>0.15</v>
      </c>
      <c r="G54" s="199">
        <f t="shared" si="3"/>
        <v>0</v>
      </c>
      <c r="H54" s="376">
        <f>AVERAGE(G54:G56)</f>
        <v>0</v>
      </c>
      <c r="I54" s="349" t="str">
        <f>IF(H54&lt;=0.5,"Faible",IF(H54&lt;=1,"Moyenne","Forte"))</f>
        <v>Faible</v>
      </c>
      <c r="J54" s="198">
        <v>0.16</v>
      </c>
      <c r="K54" s="172">
        <v>0.151</v>
      </c>
      <c r="L54" s="200">
        <f t="shared" si="4"/>
        <v>0</v>
      </c>
      <c r="M54" s="346">
        <f>AVERAGE(L52:L55)</f>
        <v>0</v>
      </c>
      <c r="N54" s="349" t="str">
        <f>IF(M54&lt;=0.5,"Faible",IF(M54&lt;=1,"Moyenne","Forte"))</f>
        <v>Faible</v>
      </c>
      <c r="O54" s="352" t="str">
        <f>IF(AND(N54="FORTE",I54="FORTE"),"FORTE",
 IF(AND(N54="FORTE",I54="MOYENNE"),"FORTE",
 IF(AND(N54="FORTE",I54="FAIBLE"),"MOYENNE",
 IF(AND(N54="MOYENNE",I54="FORTE"),"FORTE",
 IF(AND(N54="MOYENNE",I54="MOYENNE"),"MOYENNE",
 IF(AND(N54="MOYENNE",I54="FAIBLE"),"FAIBLE",
 IF(AND(N54="FAIBLE",I54="FORTE"),"MOYENNE",
 IF(AND(N54="FAIBLE",I54="MOYENNE"),"FAIBLE",
 IF(AND(N54="FAIBLE",I54="FAIBLE"),"FAIBLE","Erreur")))))))))</f>
        <v>FAIBLE</v>
      </c>
      <c r="P54" s="352" t="s">
        <v>59</v>
      </c>
      <c r="Q54" s="352">
        <f>IF(P54="Ponctuelle",0,
IF(P54="Locale",0.5,
IF(P54="Régionale",1.25,
IF(P54="Nationale",2,
""))))</f>
        <v>2</v>
      </c>
      <c r="R54" s="179">
        <f t="shared" si="5"/>
        <v>0</v>
      </c>
      <c r="S54" s="346">
        <f>AVERAGE(R54:R56)</f>
        <v>0</v>
      </c>
      <c r="T54" s="352" t="str">
        <f>IF(S54&lt;=1,"FAIBLE",IF(S54=2,"MOYENNE","FORTE"))</f>
        <v>FAIBLE</v>
      </c>
      <c r="U54" s="352" t="str">
        <f>IF(O54="ABSOLUE","Inadmissible",
IF(O54="Forte",
    IF(T54="Forte",
        IF(OR(P54="Nationale",P54="Régionale",P54="Locale"),"Majeure","Moyenne"),
    IF(T54="Moyenne",
        IF(OR(P54="Nationale",P54="Régionale"),"Majeure","Moyenne"),
    IF(T54="Faible",
        IF(OR(P54="Nationale",P54="Régionale"),"Majeure","Mineure"),
    ""))),
IF(O54="Moyenne",
    IF(T54="Forte",
        IF(P54="Nationale","Majeure",
        IF(P54="Régionale","Moyenne","Moyenne")),
    IF(T54="Moyenne","Moyenne",
    IF(T54="Faible",
        IF(OR(P54="Nationale",P54="Régionale"),"Moyenne","Mineure"),
    ""))),
IF(O54="Faible",
    IF(T54="Forte",
        IF(OR(P54="Nationale",P54="Régionale"),"Moyenne","Mineure"),
    IF(T54="Moyenne","Mineure",
    "Mineure")),
IF(O54="Très Faible",
    IF(T54="Forte","Mineure",
    "Mineure à nulle"))))))</f>
        <v>Mineure</v>
      </c>
      <c r="V54" s="352" t="s">
        <v>221</v>
      </c>
      <c r="W54" s="352" t="str">
        <f>IF(OR(U54="Mineure",U54="Mineure à nulle"),"Mineure",
 IF(U54="Moyenne",
    IF(V54="Courte","Mineure","Moyenne"),
 IF(U54="Majeure",
    IF(V54="Courte","Moyenne","Majeure"),
 "")))</f>
        <v>Mineure</v>
      </c>
      <c r="X54" s="409"/>
      <c r="Y54" s="407"/>
      <c r="Z54" s="407"/>
      <c r="AA54" s="407"/>
      <c r="AB54" s="407"/>
      <c r="AC54" s="407"/>
      <c r="AD54" s="407"/>
      <c r="AE54" s="407"/>
      <c r="AF54" s="407"/>
      <c r="AG54" s="407"/>
    </row>
    <row r="55" spans="1:33" ht="50.25" customHeight="1">
      <c r="A55" s="374"/>
      <c r="B55" s="106" t="s">
        <v>145</v>
      </c>
      <c r="C55" s="129" t="s">
        <v>151</v>
      </c>
      <c r="D55" s="241">
        <v>0</v>
      </c>
      <c r="E55" s="242">
        <v>2</v>
      </c>
      <c r="F55" s="181">
        <v>1</v>
      </c>
      <c r="G55" s="181">
        <f t="shared" si="3"/>
        <v>0</v>
      </c>
      <c r="H55" s="377"/>
      <c r="I55" s="350"/>
      <c r="J55" s="181">
        <v>1</v>
      </c>
      <c r="K55" s="177">
        <v>1</v>
      </c>
      <c r="L55" s="176">
        <f t="shared" si="4"/>
        <v>0</v>
      </c>
      <c r="M55" s="347"/>
      <c r="N55" s="350"/>
      <c r="O55" s="353"/>
      <c r="P55" s="353"/>
      <c r="Q55" s="353"/>
      <c r="R55" s="182">
        <f t="shared" si="5"/>
        <v>0</v>
      </c>
      <c r="S55" s="347"/>
      <c r="T55" s="353"/>
      <c r="U55" s="353"/>
      <c r="V55" s="353"/>
      <c r="W55" s="353"/>
      <c r="X55" s="203"/>
      <c r="Y55" s="105"/>
      <c r="Z55" s="105"/>
      <c r="AA55" s="105"/>
      <c r="AB55" s="105"/>
      <c r="AC55" s="105"/>
      <c r="AD55" s="105"/>
      <c r="AE55" s="105"/>
      <c r="AF55" s="105"/>
      <c r="AG55" s="105"/>
    </row>
    <row r="56" spans="1:33" ht="46.5" customHeight="1" thickBot="1">
      <c r="A56" s="375"/>
      <c r="B56" s="106" t="s">
        <v>226</v>
      </c>
      <c r="C56" s="129" t="s">
        <v>228</v>
      </c>
      <c r="D56" s="304">
        <v>0</v>
      </c>
      <c r="E56" s="305">
        <v>2</v>
      </c>
      <c r="F56" s="176">
        <v>0</v>
      </c>
      <c r="G56" s="176">
        <f t="shared" si="3"/>
        <v>0</v>
      </c>
      <c r="H56" s="377"/>
      <c r="I56" s="350"/>
      <c r="J56" s="176">
        <v>2</v>
      </c>
      <c r="K56" s="306">
        <v>0.182</v>
      </c>
      <c r="L56" s="176">
        <f t="shared" si="4"/>
        <v>0</v>
      </c>
      <c r="M56" s="347"/>
      <c r="N56" s="350"/>
      <c r="O56" s="353"/>
      <c r="P56" s="353"/>
      <c r="Q56" s="353"/>
      <c r="R56" s="176">
        <f t="shared" si="5"/>
        <v>0</v>
      </c>
      <c r="S56" s="347"/>
      <c r="T56" s="353"/>
      <c r="U56" s="353"/>
      <c r="V56" s="353"/>
      <c r="W56" s="353"/>
      <c r="X56" s="2"/>
      <c r="Y56" s="1"/>
      <c r="Z56" s="1"/>
      <c r="AA56" s="1"/>
      <c r="AB56" s="1"/>
      <c r="AC56" s="1"/>
      <c r="AD56" s="1"/>
      <c r="AE56" s="1"/>
      <c r="AF56" s="1"/>
      <c r="AG56" s="1"/>
    </row>
    <row r="57" spans="1:33" s="112" customFormat="1" ht="57.75" customHeight="1" thickBot="1">
      <c r="A57" s="188" t="s">
        <v>207</v>
      </c>
      <c r="B57" s="294" t="s">
        <v>207</v>
      </c>
      <c r="C57" s="295" t="s">
        <v>229</v>
      </c>
      <c r="D57" s="296">
        <v>0</v>
      </c>
      <c r="E57" s="297">
        <v>90</v>
      </c>
      <c r="F57" s="268"/>
      <c r="G57" s="268"/>
      <c r="H57" s="268"/>
      <c r="I57" s="268"/>
      <c r="J57" s="298">
        <v>89</v>
      </c>
      <c r="K57" s="268">
        <v>8.0909999999999993</v>
      </c>
      <c r="L57" s="307">
        <f t="shared" si="4"/>
        <v>0</v>
      </c>
      <c r="M57" s="301">
        <f>L56</f>
        <v>0</v>
      </c>
      <c r="N57" s="302" t="str">
        <f>IF(M57&lt;=0.5,"Faible",IF(M57&lt;=1,"Moyenne","Forte"))</f>
        <v>Faible</v>
      </c>
      <c r="O57" s="300" t="str">
        <f>N57</f>
        <v>Faible</v>
      </c>
      <c r="P57" s="300" t="s">
        <v>59</v>
      </c>
      <c r="Q57" s="300">
        <f>IF(P57="Ponctuelle",0,
IF(P57="Locale",0.5,
IF(P57="Régionale",1.25,
IF(P57="Nationale",2,
""))))</f>
        <v>2</v>
      </c>
      <c r="R57" s="298"/>
      <c r="S57" s="301">
        <f>R57</f>
        <v>0</v>
      </c>
      <c r="T57" s="300" t="str">
        <f>IF(S57&lt;=1,"FAIBLE",IF(S57=2,"MOYENNE","FORTE"))</f>
        <v>FAIBLE</v>
      </c>
      <c r="U57" s="300" t="str">
        <f>IF(O57="ABSOLUE","Inadmissible",
IF(O57="Forte",
    IF(T57="Forte",
        IF(OR(P57="Nationale",P57="Régionale",P57="Locale"),"Majeure","Moyenne"),
    IF(T57="Moyenne",
        IF(OR(P57="Nationale",P57="Régionale"),"Majeure","Moyenne"),
    IF(T57="Faible",
        IF(OR(P57="Nationale",P57="Régionale"),"Majeure","Mineure"),
    ""))),
IF(O57="Moyenne",
    IF(T57="Forte",
        IF(P57="Nationale","Majeure",
        IF(P57="Régionale","Moyenne","Moyenne")),
    IF(T57="Moyenne","Moyenne",
    IF(T57="Faible",
        IF(OR(P57="Nationale",P57="Régionale"),"Moyenne","Mineure"),
    ""))),
IF(O57="Faible",
    IF(T57="Forte",
        IF(OR(P57="Nationale",P57="Régionale"),"Moyenne","Mineure"),
    IF(T57="Moyenne","Mineure",
    "Mineure")),
IF(O57="Très Faible",
    IF(T57="Forte","Mineure",
    "Mineure à nulle"))))))</f>
        <v>Mineure</v>
      </c>
      <c r="V57" s="300" t="s">
        <v>220</v>
      </c>
      <c r="W57" s="196" t="str">
        <f>IF(OR(U57="Mineure",U57="Mineure à nulle"),"Mineure",
 IF(U57="Moyenne",
    IF(V57="Courte","Mineure","Moyenne"),
 IF(U57="Majeure",
    IF(V57="Courte","Moyenne","Majeure"),
 "")))</f>
        <v>Mineure</v>
      </c>
      <c r="X57" s="204"/>
      <c r="Y57" s="5"/>
      <c r="Z57" s="5"/>
      <c r="AA57" s="5"/>
      <c r="AB57" s="5"/>
      <c r="AC57" s="5"/>
      <c r="AD57" s="5"/>
      <c r="AE57" s="5"/>
      <c r="AF57" s="5"/>
      <c r="AG57" s="5"/>
    </row>
    <row r="58" spans="1:33" ht="74.25" customHeight="1" thickBot="1">
      <c r="A58" s="189" t="s">
        <v>225</v>
      </c>
      <c r="B58" s="201" t="s">
        <v>225</v>
      </c>
      <c r="C58" s="290" t="s">
        <v>227</v>
      </c>
      <c r="D58" s="291">
        <v>0</v>
      </c>
      <c r="E58" s="292">
        <v>5</v>
      </c>
      <c r="F58" s="194"/>
      <c r="G58" s="194"/>
      <c r="H58" s="194"/>
      <c r="I58" s="194"/>
      <c r="J58" s="169">
        <v>8</v>
      </c>
      <c r="K58" s="169">
        <v>0.72699999999999998</v>
      </c>
      <c r="L58" s="308">
        <f t="shared" si="4"/>
        <v>0</v>
      </c>
      <c r="M58" s="191">
        <f>L57</f>
        <v>0</v>
      </c>
      <c r="N58" s="187" t="str">
        <f>IF(M58&lt;=0.5,"Faible",IF(M58&lt;=1,"Moyenne","Forte"))</f>
        <v>Faible</v>
      </c>
      <c r="O58" s="193" t="str">
        <f>N58</f>
        <v>Faible</v>
      </c>
      <c r="P58" s="193" t="s">
        <v>59</v>
      </c>
      <c r="Q58" s="193">
        <f>IF(P58="Ponctuelle",0,
IF(P58="Locale",0.5,
IF(P58="Régionale",1.25,
IF(P58="Nationale",2,
""))))</f>
        <v>2</v>
      </c>
      <c r="R58" s="169">
        <f>IF(J58&gt;=5, 0, IF(AND(J58&gt;=4, J58&lt;=4), 1, 2))</f>
        <v>0</v>
      </c>
      <c r="S58" s="191">
        <f>R58</f>
        <v>0</v>
      </c>
      <c r="T58" s="193" t="str">
        <f>IF(S58&lt;=1,"FAIBLE",IF(S58=2,"MOYENNE","FORTE"))</f>
        <v>FAIBLE</v>
      </c>
      <c r="U58" s="193" t="str">
        <f>IF(O58="ABSOLUE","Inadmissible",
IF(O58="Forte",
    IF(T58="Forte",
        IF(OR(P58="Nationale",P58="Régionale",P58="Locale"),"Majeure","Moyenne"),
    IF(T58="Moyenne",
        IF(OR(P58="Nationale",P58="Régionale"),"Majeure","Moyenne"),
    IF(T58="Faible",
        IF(OR(P58="Nationale",P58="Régionale"),"Majeure","Mineure"),
    ""))),
IF(O58="Moyenne",
    IF(T58="Forte",
        IF(P58="Nationale","Majeure",
        IF(P58="Régionale","Moyenne","Moyenne")),
    IF(T58="Moyenne","Moyenne",
    IF(T58="Faible",
        IF(OR(P58="Nationale",P58="Régionale"),"Moyenne","Mineure"),
    ""))),
IF(O58="Faible",
    IF(T58="Forte",
        IF(OR(P58="Nationale",P58="Régionale"),"Moyenne","Mineure"),
    IF(T58="Moyenne","Mineure",
    "Mineure")),
IF(O58="Très Faible",
    IF(T58="Forte","Mineure",
    "Mineure à nulle"))))))</f>
        <v>Mineure</v>
      </c>
      <c r="V58" s="193" t="s">
        <v>220</v>
      </c>
      <c r="W58" s="222" t="str">
        <f>IF(OR(L57=0, L57=1), "Impact positif", "Autre impact")</f>
        <v>Impact positif</v>
      </c>
      <c r="X58" s="205"/>
      <c r="Y58" s="20"/>
      <c r="Z58" s="20"/>
      <c r="AA58" s="20"/>
      <c r="AB58" s="20"/>
      <c r="AC58" s="20"/>
      <c r="AD58" s="20"/>
      <c r="AE58" s="20"/>
      <c r="AF58" s="20"/>
      <c r="AG58" s="20"/>
    </row>
    <row r="59" spans="1:33" ht="48.75" customHeight="1">
      <c r="E59"/>
      <c r="R59"/>
      <c r="S59"/>
      <c r="T59"/>
    </row>
    <row r="60" spans="1:33" ht="59.25" customHeight="1">
      <c r="D60" s="21"/>
      <c r="E60" s="209"/>
      <c r="F60" s="210"/>
      <c r="G60" s="345" t="s">
        <v>91</v>
      </c>
      <c r="H60" s="218" t="s">
        <v>116</v>
      </c>
      <c r="I60" s="345" t="s">
        <v>101</v>
      </c>
      <c r="J60" s="218" t="s">
        <v>47</v>
      </c>
      <c r="K60" s="540" t="s">
        <v>245</v>
      </c>
      <c r="L60" s="219" t="s">
        <v>47</v>
      </c>
      <c r="M60" s="219" t="s">
        <v>246</v>
      </c>
      <c r="N60" s="220" t="s">
        <v>222</v>
      </c>
      <c r="O60" s="137"/>
      <c r="P60" s="137"/>
      <c r="R60"/>
      <c r="S60"/>
      <c r="T60"/>
    </row>
    <row r="61" spans="1:33" ht="66" customHeight="1">
      <c r="D61" s="355" t="s">
        <v>247</v>
      </c>
      <c r="E61" s="356"/>
      <c r="F61" s="211" t="s">
        <v>248</v>
      </c>
      <c r="G61" s="211" t="s">
        <v>106</v>
      </c>
      <c r="H61" s="211">
        <f>IF(G61="Aucune présence",0,IF(G61="Présence potentielle",1,IF(G61="Présence occasionnelle",2,IF(G61="Présence régulière",3,IF(G61="Présence permanente",4,"")))))</f>
        <v>0</v>
      </c>
      <c r="I61" s="211" t="s">
        <v>102</v>
      </c>
      <c r="J61" s="211">
        <f>IF(I61="Aucune protection",0,IF(I61="niveau local ou régional",1,IF(I61="niveau national (loi marocaine par ex.)",2,IF(I61="Espèce inscrite sur la Liste rouge UICN (Préoccupation mineure à vulnérable)",3,IF(I61="Espèce inscrite Liste rouge UICN (En danger / En danger critique)",4,"")))))</f>
        <v>0</v>
      </c>
      <c r="K61" s="211" t="s">
        <v>96</v>
      </c>
      <c r="L61" s="211">
        <f>IF(K61="Aucune espèce protégée",0,IF(K61="Espèce peu menacée ou rare",1,IF(K61="Espèce vulnérable",2,IF(K61="Espèce en danger / endémique",3,IF(K61="Espèce en danger critique",4,IF(K61="Espèce protégée + reproduction",5,""))))))</f>
        <v>2</v>
      </c>
      <c r="M61" s="211">
        <f>L61+J61+H61</f>
        <v>2</v>
      </c>
      <c r="N61" s="212" t="str">
        <f>IF(M61&lt;=6,"Mineure",IF(M61&lt;=12,"Moyenne",IF(M61&lt;=18,"Majeure","Très grave")))</f>
        <v>Mineure</v>
      </c>
      <c r="O61" s="137"/>
      <c r="P61" s="137"/>
      <c r="R61" s="21"/>
      <c r="S61" s="21"/>
      <c r="T61" s="21"/>
    </row>
    <row r="62" spans="1:33" ht="59.25" customHeight="1">
      <c r="D62" s="357"/>
      <c r="E62" s="358"/>
      <c r="F62" s="211" t="s">
        <v>249</v>
      </c>
      <c r="G62" s="211" t="s">
        <v>110</v>
      </c>
      <c r="H62" s="211">
        <f t="shared" ref="H62:H65" si="6">IF(G62="Aucune présence",0,IF(G62="Présence potentielle",1,IF(G62="Présence occasionnelle",2,IF(G62="Présence régulière",3,IF(G62="Présence permanente",4,"")))))</f>
        <v>2</v>
      </c>
      <c r="I62" s="211" t="s">
        <v>118</v>
      </c>
      <c r="J62" s="211">
        <f>IF(I62="Aucune protection",0,IF(I62="niveau local ou régional",1,IF(I62="niveau national (loi marocaine par ex.)",2,IF(I62="Espèce inscrite sur la Liste rouge UICN (Préoccupation mineure à vulnérable)",3,IF(I62="Espèce inscrite Liste rouge UICN (En danger / En danger critique)",4,"")))))</f>
        <v>2</v>
      </c>
      <c r="K62" s="211" t="s">
        <v>97</v>
      </c>
      <c r="L62" s="211">
        <f>IF(K62="Aucune espèce protégée",0,IF(K62="Espèce peu menacée ou rare",1,IF(K62="Espèce vulnérable",2,IF(K62="Espèce en danger / endémique",3,IF(K62="Espèce en danger critique",4,IF(K62="Espèce protégée + reproduction",5,""))))))</f>
        <v>3</v>
      </c>
      <c r="M62" s="211">
        <f>L62+J62+H62</f>
        <v>7</v>
      </c>
      <c r="N62" s="212" t="str">
        <f>IF(M62&lt;=6,"Mineure",IF(M62&lt;=12,"Moyenne",IF(M62&lt;=18,"Majeure","Très grave")))</f>
        <v>Moyenne</v>
      </c>
      <c r="O62" s="137"/>
      <c r="P62" s="137"/>
      <c r="R62" s="21"/>
      <c r="S62" s="21"/>
      <c r="T62" s="21"/>
    </row>
    <row r="63" spans="1:33" ht="69" customHeight="1">
      <c r="D63" s="365" t="s">
        <v>250</v>
      </c>
      <c r="E63" s="366"/>
      <c r="F63" s="213" t="s">
        <v>251</v>
      </c>
      <c r="G63" s="214" t="s">
        <v>108</v>
      </c>
      <c r="H63" s="214">
        <f t="shared" si="6"/>
        <v>1</v>
      </c>
      <c r="I63" s="214" t="s">
        <v>117</v>
      </c>
      <c r="J63" s="214">
        <f>IF(I63="Aucune protection",0,IF(I63="niveau local ou régional",1,IF(I63="niveau national (loi marocaine par ex.)",2,IF(I63="Espèce inscrite sur la Liste rouge UICN (Préoccupation mineure à vulnérable)",3,IF(I63="Espèce inscrite Liste rouge UICN (En danger / En danger critique)",4,"")))))</f>
        <v>1</v>
      </c>
      <c r="K63" s="214" t="s">
        <v>94</v>
      </c>
      <c r="L63" s="214">
        <f>IF(K63="Aucune espèce protégée",0,IF(K63="Espèce peu menacée ou rare",1,IF(K63="Espèce vulnérable",2,IF(K63="Espèce en danger / endémique",3,IF(K63="Espèce en danger critique",4,IF(K63="Espèce protégée + reproduction",5,""))))))</f>
        <v>0</v>
      </c>
      <c r="M63" s="215">
        <f>L63+J63+H63</f>
        <v>2</v>
      </c>
      <c r="N63" s="216" t="str">
        <f>IF(M63&lt;=6,"Faible",IF(M63&lt;=12,"Moyenne",IF(M63&lt;=18,"Grave","Très grave")))</f>
        <v>Faible</v>
      </c>
      <c r="O63" s="359">
        <f>AVERAGE(M63:M65)</f>
        <v>2</v>
      </c>
      <c r="P63" s="359" t="str">
        <f>IF(O63&lt;=3,"Mineure",IF(O63&lt;=6,"Moyenne","Majeure"))</f>
        <v>Mineure</v>
      </c>
      <c r="R63" s="21"/>
      <c r="S63" s="21"/>
      <c r="T63" s="21"/>
    </row>
    <row r="64" spans="1:33" ht="54" customHeight="1">
      <c r="D64" s="367"/>
      <c r="E64" s="368"/>
      <c r="F64" s="217" t="s">
        <v>252</v>
      </c>
      <c r="G64" s="214" t="s">
        <v>106</v>
      </c>
      <c r="H64" s="214">
        <f t="shared" si="6"/>
        <v>0</v>
      </c>
      <c r="I64" s="214" t="s">
        <v>102</v>
      </c>
      <c r="J64" s="214">
        <f>IF(I64="Aucune protection",0,IF(I64="niveau local ou régional",1,IF(I64="niveau national (loi marocaine par ex.)",2,IF(I64="Espèce inscrite sur la Liste rouge UICN (Préoccupation mineure à vulnérable)",3,IF(I64="Espèce inscrite Liste rouge UICN (En danger / En danger critique)",4,"")))))</f>
        <v>0</v>
      </c>
      <c r="K64" s="214" t="s">
        <v>94</v>
      </c>
      <c r="L64" s="214">
        <f>IF(K64="Aucune espèce protégée",0,IF(K64="Espèce peu menacée ou rare",1,IF(K64="Espèce vulnérable",2,IF(K64="Espèce en danger / endémique",3,IF(K64="Espèce en danger critique",4,IF(K64="Espèce protégée + reproduction",5,""))))))</f>
        <v>0</v>
      </c>
      <c r="M64" s="215">
        <f>L64+J64+H64</f>
        <v>0</v>
      </c>
      <c r="N64" s="216" t="str">
        <f t="shared" ref="N64:N65" si="7">IF(M64&lt;=6,"Faible",IF(M64&lt;=12,"Moyenne",IF(M64&lt;=18,"Grave","Très grave")))</f>
        <v>Faible</v>
      </c>
      <c r="O64" s="353"/>
      <c r="P64" s="353"/>
      <c r="R64" s="21"/>
      <c r="S64" s="21"/>
      <c r="T64" s="21"/>
    </row>
    <row r="65" spans="4:20" ht="75" customHeight="1">
      <c r="D65" s="369"/>
      <c r="E65" s="370"/>
      <c r="F65" s="214" t="s">
        <v>253</v>
      </c>
      <c r="G65" s="214" t="s">
        <v>108</v>
      </c>
      <c r="H65" s="214">
        <f t="shared" si="6"/>
        <v>1</v>
      </c>
      <c r="I65" s="214" t="s">
        <v>117</v>
      </c>
      <c r="J65" s="214">
        <f>IF(I65="Aucune protection",0,IF(I65="niveau local ou régional",1,IF(I65="niveau national (loi marocaine par ex.)",2,IF(I65="Espèce inscrite sur la Liste rouge UICN (Préoccupation mineure à vulnérable)",3,IF(I65="Espèce inscrite Liste rouge UICN (En danger / En danger critique)",4,"")))))</f>
        <v>1</v>
      </c>
      <c r="K65" s="214" t="s">
        <v>96</v>
      </c>
      <c r="L65" s="214">
        <f>IF(K65="Aucune espèce protégée",0,IF(K65="Espèce peu menacée ou rare",1,IF(K65="Espèce vulnérable",2,IF(K65="Espèce en danger / endémique",3,IF(K65="Espèce en danger critique",4,IF(K65="Espèce protégée + reproduction",5,""))))))</f>
        <v>2</v>
      </c>
      <c r="M65" s="215">
        <f>L65+J65+H65</f>
        <v>4</v>
      </c>
      <c r="N65" s="216" t="str">
        <f t="shared" si="7"/>
        <v>Faible</v>
      </c>
      <c r="O65" s="360"/>
      <c r="P65" s="360"/>
      <c r="R65" s="21"/>
      <c r="S65" s="21"/>
      <c r="T65" s="21"/>
    </row>
    <row r="66" spans="4:20">
      <c r="R66" s="21"/>
      <c r="S66" s="21"/>
      <c r="T66" s="21"/>
    </row>
    <row r="67" spans="4:20">
      <c r="R67" s="21"/>
      <c r="S67" s="21"/>
      <c r="T67" s="21"/>
    </row>
    <row r="68" spans="4:20">
      <c r="R68" s="21"/>
      <c r="S68" s="21"/>
      <c r="T68" s="21"/>
    </row>
    <row r="69" spans="4:20">
      <c r="R69" s="21"/>
      <c r="S69" s="21"/>
      <c r="T69" s="21"/>
    </row>
    <row r="70" spans="4:20">
      <c r="R70" s="21"/>
      <c r="S70" s="21"/>
      <c r="T70" s="21"/>
    </row>
    <row r="71" spans="4:20">
      <c r="R71" s="21"/>
      <c r="S71" s="21"/>
      <c r="T71" s="21"/>
    </row>
    <row r="72" spans="4:20">
      <c r="R72"/>
      <c r="S72"/>
      <c r="T72"/>
    </row>
    <row r="73" spans="4:20">
      <c r="R73"/>
      <c r="S73"/>
      <c r="T73"/>
    </row>
    <row r="74" spans="4:20">
      <c r="R74"/>
      <c r="S74"/>
      <c r="T74"/>
    </row>
    <row r="75" spans="4:20">
      <c r="R75"/>
      <c r="S75"/>
      <c r="T75"/>
    </row>
    <row r="76" spans="4:20">
      <c r="R76"/>
      <c r="S76"/>
      <c r="T76"/>
    </row>
    <row r="77" spans="4:20">
      <c r="R77"/>
      <c r="S77"/>
      <c r="T77"/>
    </row>
    <row r="78" spans="4:20">
      <c r="R78"/>
      <c r="S78"/>
      <c r="T78"/>
    </row>
    <row r="79" spans="4:20">
      <c r="R79"/>
      <c r="S79"/>
      <c r="T79"/>
    </row>
    <row r="80" spans="4:20">
      <c r="R80"/>
      <c r="S80"/>
      <c r="T80"/>
    </row>
    <row r="81" spans="18:20">
      <c r="R81"/>
      <c r="S81"/>
      <c r="T81"/>
    </row>
    <row r="82" spans="18:20">
      <c r="R82"/>
      <c r="S82"/>
      <c r="T82"/>
    </row>
    <row r="83" spans="18:20">
      <c r="R83"/>
      <c r="S83"/>
      <c r="T83"/>
    </row>
    <row r="84" spans="18:20">
      <c r="R84"/>
      <c r="S84"/>
      <c r="T84"/>
    </row>
    <row r="85" spans="18:20">
      <c r="R85"/>
      <c r="S85"/>
      <c r="T85"/>
    </row>
    <row r="86" spans="18:20">
      <c r="R86"/>
      <c r="S86"/>
      <c r="T86"/>
    </row>
    <row r="87" spans="18:20">
      <c r="R87"/>
      <c r="S87"/>
      <c r="T87"/>
    </row>
    <row r="88" spans="18:20">
      <c r="R88"/>
      <c r="S88"/>
      <c r="T88"/>
    </row>
    <row r="89" spans="18:20">
      <c r="R89"/>
      <c r="S89"/>
      <c r="T89"/>
    </row>
    <row r="90" spans="18:20">
      <c r="R90"/>
      <c r="S90"/>
      <c r="T90"/>
    </row>
    <row r="91" spans="18:20">
      <c r="R91"/>
      <c r="S91"/>
      <c r="T91"/>
    </row>
    <row r="92" spans="18:20">
      <c r="R92"/>
      <c r="S92"/>
      <c r="T92"/>
    </row>
    <row r="93" spans="18:20">
      <c r="R93"/>
      <c r="S93"/>
      <c r="T93"/>
    </row>
    <row r="94" spans="18:20">
      <c r="R94"/>
      <c r="S94"/>
      <c r="T94"/>
    </row>
    <row r="95" spans="18:20">
      <c r="R95"/>
      <c r="S95"/>
      <c r="T95"/>
    </row>
    <row r="96" spans="18:20">
      <c r="R96"/>
      <c r="S96"/>
      <c r="T96"/>
    </row>
    <row r="97" spans="18:20">
      <c r="R97"/>
      <c r="S97"/>
      <c r="T97"/>
    </row>
    <row r="98" spans="18:20">
      <c r="R98"/>
      <c r="S98"/>
      <c r="T98"/>
    </row>
    <row r="99" spans="18:20">
      <c r="R99"/>
      <c r="S99"/>
      <c r="T99"/>
    </row>
    <row r="100" spans="18:20">
      <c r="R100"/>
      <c r="S100"/>
      <c r="T100"/>
    </row>
    <row r="101" spans="18:20">
      <c r="R101"/>
      <c r="S101"/>
      <c r="T101"/>
    </row>
    <row r="102" spans="18:20">
      <c r="R102"/>
      <c r="S102"/>
      <c r="T102"/>
    </row>
    <row r="103" spans="18:20">
      <c r="R103"/>
      <c r="S103"/>
      <c r="T103"/>
    </row>
    <row r="104" spans="18:20">
      <c r="R104"/>
      <c r="S104"/>
      <c r="T104"/>
    </row>
    <row r="105" spans="18:20">
      <c r="R105"/>
      <c r="S105"/>
      <c r="T105"/>
    </row>
    <row r="106" spans="18:20">
      <c r="R106"/>
      <c r="S106"/>
      <c r="T106"/>
    </row>
    <row r="107" spans="18:20">
      <c r="R107"/>
      <c r="S107"/>
      <c r="T107"/>
    </row>
    <row r="108" spans="18:20">
      <c r="R108"/>
      <c r="S108"/>
      <c r="T108"/>
    </row>
    <row r="109" spans="18:20">
      <c r="R109"/>
      <c r="S109"/>
      <c r="T109"/>
    </row>
    <row r="110" spans="18:20">
      <c r="R110"/>
      <c r="S110"/>
      <c r="T110"/>
    </row>
    <row r="111" spans="18:20">
      <c r="R111"/>
      <c r="S111"/>
      <c r="T111"/>
    </row>
    <row r="112" spans="18:20">
      <c r="R112"/>
      <c r="S112"/>
      <c r="T112"/>
    </row>
    <row r="113" spans="18:20">
      <c r="R113"/>
      <c r="S113"/>
      <c r="T113"/>
    </row>
    <row r="114" spans="18:20">
      <c r="R114"/>
      <c r="S114"/>
      <c r="T114"/>
    </row>
    <row r="115" spans="18:20">
      <c r="R115"/>
      <c r="S115"/>
      <c r="T115"/>
    </row>
    <row r="116" spans="18:20">
      <c r="R116"/>
      <c r="S116"/>
      <c r="T116"/>
    </row>
    <row r="117" spans="18:20">
      <c r="R117"/>
      <c r="S117"/>
      <c r="T117"/>
    </row>
    <row r="118" spans="18:20">
      <c r="R118"/>
      <c r="S118"/>
      <c r="T118"/>
    </row>
    <row r="119" spans="18:20">
      <c r="R119"/>
      <c r="S119"/>
      <c r="T119"/>
    </row>
    <row r="120" spans="18:20">
      <c r="R120"/>
      <c r="S120"/>
      <c r="T120"/>
    </row>
    <row r="121" spans="18:20">
      <c r="R121"/>
      <c r="S121"/>
      <c r="T121"/>
    </row>
    <row r="122" spans="18:20">
      <c r="R122"/>
      <c r="S122"/>
      <c r="T122"/>
    </row>
    <row r="123" spans="18:20">
      <c r="R123"/>
      <c r="S123"/>
      <c r="T123"/>
    </row>
    <row r="124" spans="18:20">
      <c r="R124"/>
      <c r="S124"/>
      <c r="T124"/>
    </row>
    <row r="125" spans="18:20">
      <c r="R125"/>
      <c r="S125"/>
      <c r="T125"/>
    </row>
    <row r="126" spans="18:20">
      <c r="R126"/>
      <c r="S126"/>
      <c r="T126"/>
    </row>
    <row r="127" spans="18:20">
      <c r="R127"/>
      <c r="S127"/>
      <c r="T127"/>
    </row>
    <row r="128" spans="18:20">
      <c r="R128"/>
      <c r="S128"/>
      <c r="T128"/>
    </row>
    <row r="129" spans="18:20">
      <c r="R129"/>
      <c r="S129"/>
      <c r="T129"/>
    </row>
    <row r="130" spans="18:20">
      <c r="R130"/>
      <c r="S130"/>
      <c r="T130"/>
    </row>
    <row r="131" spans="18:20">
      <c r="R131"/>
      <c r="S131"/>
      <c r="T131"/>
    </row>
    <row r="132" spans="18:20">
      <c r="R132"/>
      <c r="S132"/>
      <c r="T132"/>
    </row>
    <row r="133" spans="18:20">
      <c r="R133"/>
      <c r="S133"/>
      <c r="T133"/>
    </row>
    <row r="134" spans="18:20">
      <c r="R134"/>
      <c r="S134"/>
      <c r="T134"/>
    </row>
    <row r="135" spans="18:20">
      <c r="R135"/>
      <c r="S135"/>
      <c r="T135"/>
    </row>
    <row r="136" spans="18:20">
      <c r="R136"/>
      <c r="S136"/>
      <c r="T136"/>
    </row>
    <row r="137" spans="18:20">
      <c r="R137"/>
      <c r="S137"/>
      <c r="T137"/>
    </row>
    <row r="138" spans="18:20">
      <c r="R138"/>
      <c r="S138"/>
      <c r="T138"/>
    </row>
    <row r="139" spans="18:20">
      <c r="R139"/>
      <c r="S139"/>
      <c r="T139"/>
    </row>
    <row r="140" spans="18:20">
      <c r="R140"/>
      <c r="S140"/>
      <c r="T140"/>
    </row>
    <row r="141" spans="18:20">
      <c r="R141"/>
      <c r="S141"/>
      <c r="T141"/>
    </row>
    <row r="142" spans="18:20">
      <c r="R142"/>
      <c r="S142"/>
      <c r="T142"/>
    </row>
    <row r="143" spans="18:20">
      <c r="R143"/>
      <c r="S143"/>
      <c r="T143"/>
    </row>
    <row r="144" spans="18:20">
      <c r="R144"/>
      <c r="S144"/>
      <c r="T144"/>
    </row>
    <row r="145" spans="18:20">
      <c r="R145"/>
      <c r="S145"/>
      <c r="T145"/>
    </row>
    <row r="146" spans="18:20">
      <c r="R146"/>
      <c r="S146"/>
      <c r="T146"/>
    </row>
    <row r="147" spans="18:20">
      <c r="R147"/>
      <c r="S147"/>
      <c r="T147"/>
    </row>
    <row r="148" spans="18:20">
      <c r="R148"/>
      <c r="S148"/>
      <c r="T148"/>
    </row>
    <row r="149" spans="18:20">
      <c r="R149"/>
      <c r="S149"/>
      <c r="T149"/>
    </row>
    <row r="150" spans="18:20">
      <c r="R150"/>
      <c r="S150"/>
      <c r="T150"/>
    </row>
    <row r="151" spans="18:20">
      <c r="R151"/>
      <c r="S151"/>
      <c r="T151"/>
    </row>
    <row r="152" spans="18:20">
      <c r="R152"/>
      <c r="S152"/>
      <c r="T152"/>
    </row>
    <row r="153" spans="18:20">
      <c r="R153"/>
      <c r="S153"/>
      <c r="T153"/>
    </row>
    <row r="154" spans="18:20">
      <c r="R154"/>
      <c r="S154"/>
      <c r="T154"/>
    </row>
    <row r="155" spans="18:20">
      <c r="R155"/>
      <c r="S155"/>
      <c r="T155"/>
    </row>
    <row r="156" spans="18:20">
      <c r="R156"/>
      <c r="S156"/>
      <c r="T156"/>
    </row>
    <row r="157" spans="18:20">
      <c r="R157"/>
      <c r="S157"/>
      <c r="T157"/>
    </row>
    <row r="158" spans="18:20">
      <c r="R158"/>
      <c r="S158"/>
      <c r="T158"/>
    </row>
    <row r="159" spans="18:20">
      <c r="R159"/>
      <c r="S159"/>
      <c r="T159"/>
    </row>
    <row r="160" spans="18:20">
      <c r="R160"/>
      <c r="S160"/>
      <c r="T160"/>
    </row>
    <row r="161" spans="18:20">
      <c r="R161"/>
      <c r="S161"/>
      <c r="T161"/>
    </row>
    <row r="162" spans="18:20">
      <c r="R162"/>
      <c r="S162"/>
      <c r="T162"/>
    </row>
    <row r="163" spans="18:20">
      <c r="R163"/>
      <c r="S163"/>
      <c r="T163"/>
    </row>
    <row r="164" spans="18:20">
      <c r="R164"/>
      <c r="S164"/>
      <c r="T164"/>
    </row>
    <row r="165" spans="18:20">
      <c r="R165"/>
      <c r="S165"/>
      <c r="T165"/>
    </row>
    <row r="166" spans="18:20">
      <c r="R166"/>
      <c r="S166"/>
      <c r="T166"/>
    </row>
    <row r="167" spans="18:20">
      <c r="R167"/>
      <c r="S167"/>
      <c r="T167"/>
    </row>
    <row r="168" spans="18:20">
      <c r="R168"/>
      <c r="S168"/>
      <c r="T168"/>
    </row>
    <row r="169" spans="18:20">
      <c r="R169"/>
      <c r="S169"/>
      <c r="T169"/>
    </row>
    <row r="170" spans="18:20">
      <c r="R170"/>
      <c r="S170"/>
      <c r="T170"/>
    </row>
    <row r="171" spans="18:20">
      <c r="R171"/>
      <c r="S171"/>
      <c r="T171"/>
    </row>
    <row r="172" spans="18:20">
      <c r="R172"/>
      <c r="S172"/>
      <c r="T172"/>
    </row>
    <row r="173" spans="18:20">
      <c r="R173"/>
      <c r="S173"/>
      <c r="T173"/>
    </row>
    <row r="174" spans="18:20">
      <c r="R174"/>
      <c r="S174"/>
      <c r="T174"/>
    </row>
    <row r="175" spans="18:20">
      <c r="R175"/>
      <c r="S175"/>
      <c r="T175"/>
    </row>
    <row r="176" spans="18:20">
      <c r="R176"/>
      <c r="S176"/>
      <c r="T176"/>
    </row>
    <row r="177" spans="18:20">
      <c r="R177"/>
      <c r="S177"/>
      <c r="T177"/>
    </row>
    <row r="178" spans="18:20">
      <c r="R178"/>
      <c r="S178"/>
      <c r="T178"/>
    </row>
    <row r="179" spans="18:20">
      <c r="R179"/>
      <c r="S179"/>
      <c r="T179"/>
    </row>
    <row r="180" spans="18:20">
      <c r="R180"/>
      <c r="S180"/>
      <c r="T180"/>
    </row>
    <row r="181" spans="18:20">
      <c r="R181"/>
      <c r="S181"/>
      <c r="T181"/>
    </row>
    <row r="182" spans="18:20">
      <c r="R182"/>
      <c r="S182"/>
      <c r="T182"/>
    </row>
    <row r="183" spans="18:20">
      <c r="R183"/>
      <c r="S183"/>
      <c r="T183"/>
    </row>
    <row r="184" spans="18:20">
      <c r="R184"/>
      <c r="S184"/>
      <c r="T184"/>
    </row>
    <row r="185" spans="18:20">
      <c r="R185"/>
      <c r="S185"/>
      <c r="T185"/>
    </row>
    <row r="186" spans="18:20">
      <c r="R186"/>
      <c r="S186"/>
      <c r="T186"/>
    </row>
    <row r="187" spans="18:20">
      <c r="R187"/>
      <c r="S187"/>
      <c r="T187"/>
    </row>
    <row r="188" spans="18:20">
      <c r="R188"/>
      <c r="S188"/>
      <c r="T188"/>
    </row>
    <row r="189" spans="18:20">
      <c r="R189"/>
      <c r="S189"/>
      <c r="T189"/>
    </row>
    <row r="190" spans="18:20">
      <c r="R190"/>
      <c r="S190"/>
      <c r="T190"/>
    </row>
    <row r="191" spans="18:20">
      <c r="R191"/>
      <c r="S191"/>
      <c r="T191"/>
    </row>
    <row r="192" spans="18:20">
      <c r="R192"/>
      <c r="S192"/>
      <c r="T192"/>
    </row>
    <row r="193" spans="18:20">
      <c r="R193"/>
      <c r="S193"/>
      <c r="T193"/>
    </row>
    <row r="194" spans="18:20">
      <c r="R194"/>
      <c r="S194"/>
      <c r="T194"/>
    </row>
    <row r="195" spans="18:20">
      <c r="R195"/>
      <c r="S195"/>
      <c r="T195"/>
    </row>
    <row r="196" spans="18:20">
      <c r="R196"/>
      <c r="S196"/>
      <c r="T196"/>
    </row>
    <row r="197" spans="18:20">
      <c r="R197"/>
      <c r="S197"/>
      <c r="T197"/>
    </row>
    <row r="198" spans="18:20">
      <c r="R198"/>
      <c r="S198"/>
      <c r="T198"/>
    </row>
    <row r="199" spans="18:20">
      <c r="R199"/>
      <c r="S199"/>
      <c r="T199"/>
    </row>
    <row r="200" spans="18:20">
      <c r="R200"/>
      <c r="S200"/>
      <c r="T200"/>
    </row>
    <row r="201" spans="18:20">
      <c r="R201"/>
      <c r="S201"/>
      <c r="T201"/>
    </row>
    <row r="202" spans="18:20">
      <c r="R202"/>
      <c r="S202"/>
      <c r="T202"/>
    </row>
    <row r="203" spans="18:20">
      <c r="R203"/>
      <c r="S203"/>
      <c r="T203"/>
    </row>
    <row r="204" spans="18:20">
      <c r="R204"/>
      <c r="S204"/>
      <c r="T204"/>
    </row>
    <row r="205" spans="18:20">
      <c r="R205"/>
      <c r="S205"/>
      <c r="T205"/>
    </row>
    <row r="206" spans="18:20">
      <c r="R206"/>
      <c r="S206"/>
      <c r="T206"/>
    </row>
    <row r="207" spans="18:20">
      <c r="R207"/>
      <c r="S207"/>
      <c r="T207"/>
    </row>
    <row r="208" spans="18:20">
      <c r="R208"/>
      <c r="S208"/>
      <c r="T208"/>
    </row>
    <row r="209" spans="18:20">
      <c r="R209"/>
      <c r="S209"/>
      <c r="T209"/>
    </row>
    <row r="210" spans="18:20">
      <c r="R210"/>
      <c r="S210"/>
      <c r="T210"/>
    </row>
    <row r="211" spans="18:20">
      <c r="R211"/>
      <c r="S211"/>
      <c r="T211"/>
    </row>
    <row r="212" spans="18:20">
      <c r="R212"/>
      <c r="S212"/>
      <c r="T212"/>
    </row>
    <row r="213" spans="18:20">
      <c r="R213"/>
      <c r="S213"/>
      <c r="T213"/>
    </row>
    <row r="214" spans="18:20">
      <c r="R214"/>
      <c r="S214"/>
      <c r="T214"/>
    </row>
    <row r="215" spans="18:20">
      <c r="R215"/>
      <c r="S215"/>
      <c r="T215"/>
    </row>
    <row r="216" spans="18:20">
      <c r="R216"/>
      <c r="S216"/>
      <c r="T216"/>
    </row>
    <row r="217" spans="18:20">
      <c r="R217"/>
      <c r="S217"/>
      <c r="T217"/>
    </row>
    <row r="218" spans="18:20">
      <c r="R218"/>
      <c r="S218"/>
      <c r="T218"/>
    </row>
    <row r="219" spans="18:20">
      <c r="R219"/>
      <c r="S219"/>
      <c r="T219"/>
    </row>
    <row r="220" spans="18:20">
      <c r="R220"/>
      <c r="S220"/>
      <c r="T220"/>
    </row>
    <row r="221" spans="18:20">
      <c r="R221"/>
      <c r="S221"/>
      <c r="T221"/>
    </row>
    <row r="222" spans="18:20">
      <c r="R222"/>
      <c r="S222"/>
      <c r="T222"/>
    </row>
    <row r="223" spans="18:20">
      <c r="R223"/>
      <c r="S223"/>
      <c r="T223"/>
    </row>
    <row r="224" spans="18:20">
      <c r="R224"/>
      <c r="S224"/>
      <c r="T224"/>
    </row>
    <row r="225" spans="18:20">
      <c r="R225"/>
      <c r="S225"/>
      <c r="T225"/>
    </row>
    <row r="226" spans="18:20">
      <c r="R226"/>
      <c r="S226"/>
      <c r="T226"/>
    </row>
    <row r="227" spans="18:20">
      <c r="R227"/>
      <c r="S227"/>
      <c r="T227"/>
    </row>
    <row r="228" spans="18:20">
      <c r="R228"/>
      <c r="S228"/>
      <c r="T228"/>
    </row>
    <row r="229" spans="18:20">
      <c r="R229"/>
      <c r="S229"/>
      <c r="T229"/>
    </row>
    <row r="230" spans="18:20">
      <c r="R230"/>
      <c r="S230"/>
      <c r="T230"/>
    </row>
    <row r="231" spans="18:20">
      <c r="R231"/>
      <c r="S231"/>
      <c r="T231"/>
    </row>
    <row r="232" spans="18:20">
      <c r="R232"/>
      <c r="S232"/>
      <c r="T232"/>
    </row>
    <row r="233" spans="18:20">
      <c r="R233"/>
      <c r="S233"/>
      <c r="T233"/>
    </row>
    <row r="234" spans="18:20">
      <c r="R234"/>
      <c r="S234"/>
      <c r="T234"/>
    </row>
    <row r="235" spans="18:20">
      <c r="R235"/>
      <c r="S235"/>
      <c r="T235"/>
    </row>
    <row r="236" spans="18:20">
      <c r="R236"/>
      <c r="S236"/>
      <c r="T236"/>
    </row>
    <row r="237" spans="18:20">
      <c r="R237"/>
      <c r="S237"/>
      <c r="T237"/>
    </row>
    <row r="238" spans="18:20">
      <c r="R238"/>
      <c r="S238"/>
      <c r="T238"/>
    </row>
    <row r="239" spans="18:20">
      <c r="R239"/>
      <c r="S239"/>
      <c r="T239"/>
    </row>
    <row r="240" spans="18:20">
      <c r="R240"/>
      <c r="S240"/>
      <c r="T240"/>
    </row>
    <row r="241" spans="18:20">
      <c r="R241"/>
      <c r="S241"/>
      <c r="T241"/>
    </row>
    <row r="242" spans="18:20">
      <c r="R242"/>
      <c r="S242"/>
      <c r="T242"/>
    </row>
    <row r="243" spans="18:20">
      <c r="R243"/>
      <c r="S243"/>
      <c r="T243"/>
    </row>
    <row r="244" spans="18:20">
      <c r="R244"/>
      <c r="S244"/>
      <c r="T244"/>
    </row>
    <row r="245" spans="18:20">
      <c r="R245"/>
      <c r="S245"/>
      <c r="T245"/>
    </row>
    <row r="246" spans="18:20">
      <c r="R246"/>
      <c r="S246"/>
      <c r="T246"/>
    </row>
    <row r="247" spans="18:20">
      <c r="R247"/>
      <c r="S247"/>
      <c r="T247"/>
    </row>
    <row r="248" spans="18:20">
      <c r="R248"/>
      <c r="S248"/>
      <c r="T248"/>
    </row>
    <row r="249" spans="18:20">
      <c r="R249"/>
      <c r="S249"/>
      <c r="T249"/>
    </row>
    <row r="250" spans="18:20">
      <c r="R250"/>
      <c r="S250"/>
      <c r="T250"/>
    </row>
    <row r="251" spans="18:20">
      <c r="R251"/>
      <c r="S251"/>
      <c r="T251"/>
    </row>
    <row r="252" spans="18:20">
      <c r="R252"/>
      <c r="S252"/>
      <c r="T252"/>
    </row>
    <row r="253" spans="18:20">
      <c r="R253"/>
      <c r="S253"/>
      <c r="T253"/>
    </row>
    <row r="254" spans="18:20">
      <c r="R254"/>
      <c r="S254"/>
      <c r="T254"/>
    </row>
    <row r="255" spans="18:20">
      <c r="R255"/>
      <c r="S255"/>
      <c r="T255"/>
    </row>
    <row r="256" spans="18:20">
      <c r="R256"/>
      <c r="S256"/>
      <c r="T256"/>
    </row>
    <row r="257" spans="18:20">
      <c r="R257"/>
      <c r="S257"/>
      <c r="T257"/>
    </row>
    <row r="258" spans="18:20">
      <c r="R258"/>
      <c r="S258"/>
      <c r="T258"/>
    </row>
    <row r="259" spans="18:20">
      <c r="R259"/>
      <c r="S259"/>
      <c r="T259"/>
    </row>
    <row r="260" spans="18:20">
      <c r="R260"/>
      <c r="S260"/>
      <c r="T260"/>
    </row>
    <row r="261" spans="18:20">
      <c r="R261"/>
      <c r="S261"/>
      <c r="T261"/>
    </row>
  </sheetData>
  <mergeCells count="128">
    <mergeCell ref="D61:E62"/>
    <mergeCell ref="D63:E65"/>
    <mergeCell ref="O63:O65"/>
    <mergeCell ref="P63:P65"/>
    <mergeCell ref="A37:B38"/>
    <mergeCell ref="C37:C38"/>
    <mergeCell ref="H37:H38"/>
    <mergeCell ref="I37:I38"/>
    <mergeCell ref="M37:M38"/>
    <mergeCell ref="N37:N38"/>
    <mergeCell ref="O37:O38"/>
    <mergeCell ref="P37:P38"/>
    <mergeCell ref="A54:A56"/>
    <mergeCell ref="H54:H56"/>
    <mergeCell ref="I54:I56"/>
    <mergeCell ref="M54:M56"/>
    <mergeCell ref="N54:N56"/>
    <mergeCell ref="O54:O56"/>
    <mergeCell ref="P54:P56"/>
    <mergeCell ref="AC2:AC22"/>
    <mergeCell ref="AD2:AD22"/>
    <mergeCell ref="AE2:AE22"/>
    <mergeCell ref="AF2:AF22"/>
    <mergeCell ref="AG2:AG22"/>
    <mergeCell ref="AC23:AC36"/>
    <mergeCell ref="AD23:AD36"/>
    <mergeCell ref="AE23:AE36"/>
    <mergeCell ref="AF23:AF36"/>
    <mergeCell ref="AG23:AG36"/>
    <mergeCell ref="R1:S1"/>
    <mergeCell ref="W23:W36"/>
    <mergeCell ref="V23:V36"/>
    <mergeCell ref="W2:W22"/>
    <mergeCell ref="V2:V22"/>
    <mergeCell ref="AA37:AA43"/>
    <mergeCell ref="AB37:AB43"/>
    <mergeCell ref="X37:X43"/>
    <mergeCell ref="Y37:Y43"/>
    <mergeCell ref="Z37:Z43"/>
    <mergeCell ref="AA2:AA22"/>
    <mergeCell ref="AB2:AB22"/>
    <mergeCell ref="X23:X36"/>
    <mergeCell ref="Y23:Y36"/>
    <mergeCell ref="Z23:Z36"/>
    <mergeCell ref="AA23:AA36"/>
    <mergeCell ref="AB23:AB36"/>
    <mergeCell ref="X2:X22"/>
    <mergeCell ref="Y2:Y22"/>
    <mergeCell ref="Z2:Z22"/>
    <mergeCell ref="W37:W38"/>
    <mergeCell ref="T40:T46"/>
    <mergeCell ref="U40:U46"/>
    <mergeCell ref="V40:V46"/>
    <mergeCell ref="G1:H1"/>
    <mergeCell ref="O2:O22"/>
    <mergeCell ref="O23:O36"/>
    <mergeCell ref="I2:I22"/>
    <mergeCell ref="I23:I36"/>
    <mergeCell ref="N2:N22"/>
    <mergeCell ref="N23:N36"/>
    <mergeCell ref="M2:M22"/>
    <mergeCell ref="H2:H22"/>
    <mergeCell ref="H23:H36"/>
    <mergeCell ref="A2:A22"/>
    <mergeCell ref="A23:A36"/>
    <mergeCell ref="M23:M36"/>
    <mergeCell ref="S2:S22"/>
    <mergeCell ref="S23:S36"/>
    <mergeCell ref="Q2:Q22"/>
    <mergeCell ref="Q23:Q36"/>
    <mergeCell ref="U2:U22"/>
    <mergeCell ref="U23:U36"/>
    <mergeCell ref="P23:P36"/>
    <mergeCell ref="T2:T22"/>
    <mergeCell ref="T23:T36"/>
    <mergeCell ref="P2:P22"/>
    <mergeCell ref="W40:W46"/>
    <mergeCell ref="S47:S53"/>
    <mergeCell ref="T47:T53"/>
    <mergeCell ref="U47:U53"/>
    <mergeCell ref="AG44:AG54"/>
    <mergeCell ref="AF44:AF54"/>
    <mergeCell ref="AE44:AE54"/>
    <mergeCell ref="AD44:AD54"/>
    <mergeCell ref="AC44:AC54"/>
    <mergeCell ref="AB44:AB54"/>
    <mergeCell ref="AA44:AA54"/>
    <mergeCell ref="Z44:Z54"/>
    <mergeCell ref="Y44:Y54"/>
    <mergeCell ref="X44:X54"/>
    <mergeCell ref="S40:S46"/>
    <mergeCell ref="W47:W53"/>
    <mergeCell ref="AG37:AG43"/>
    <mergeCell ref="AC37:AC43"/>
    <mergeCell ref="AD37:AD43"/>
    <mergeCell ref="AE37:AE43"/>
    <mergeCell ref="AF37:AF43"/>
    <mergeCell ref="Q37:Q38"/>
    <mergeCell ref="S37:S38"/>
    <mergeCell ref="T37:T38"/>
    <mergeCell ref="U37:U38"/>
    <mergeCell ref="V37:V38"/>
    <mergeCell ref="P47:P53"/>
    <mergeCell ref="Q47:Q53"/>
    <mergeCell ref="A40:A46"/>
    <mergeCell ref="H40:H46"/>
    <mergeCell ref="I40:I46"/>
    <mergeCell ref="M40:M46"/>
    <mergeCell ref="N40:N46"/>
    <mergeCell ref="O40:O46"/>
    <mergeCell ref="P40:P46"/>
    <mergeCell ref="Q40:Q46"/>
    <mergeCell ref="V47:V53"/>
    <mergeCell ref="B49:B50"/>
    <mergeCell ref="B51:B52"/>
    <mergeCell ref="Q54:Q56"/>
    <mergeCell ref="S54:S56"/>
    <mergeCell ref="T54:T56"/>
    <mergeCell ref="U54:U56"/>
    <mergeCell ref="V54:V56"/>
    <mergeCell ref="W54:W56"/>
    <mergeCell ref="A47:A53"/>
    <mergeCell ref="B47:B48"/>
    <mergeCell ref="H47:H53"/>
    <mergeCell ref="I47:I53"/>
    <mergeCell ref="M47:M53"/>
    <mergeCell ref="N47:N53"/>
    <mergeCell ref="O47:O53"/>
  </mergeCells>
  <conditionalFormatting sqref="AC2:AG53">
    <cfRule type="expression" dxfId="31" priority="60">
      <formula>OR($W1048537="Mineure")</formula>
    </cfRule>
  </conditionalFormatting>
  <conditionalFormatting sqref="AC54:AG55">
    <cfRule type="expression" dxfId="30" priority="61">
      <formula>OR($W11="Mineure")</formula>
    </cfRule>
  </conditionalFormatting>
  <conditionalFormatting sqref="W57 W2 W40:W54 W23:W37">
    <cfRule type="expression" dxfId="29" priority="11">
      <formula>OR($W2="Majeure")</formula>
    </cfRule>
    <cfRule type="expression" dxfId="28" priority="12">
      <formula>OR($W2="Moyenne")</formula>
    </cfRule>
    <cfRule type="expression" dxfId="27" priority="13">
      <formula>OR($W2="Mineure")</formula>
    </cfRule>
  </conditionalFormatting>
  <conditionalFormatting sqref="W54 W57 W37">
    <cfRule type="expression" dxfId="26" priority="10">
      <formula>OR($W37="Mineure")</formula>
    </cfRule>
  </conditionalFormatting>
  <conditionalFormatting sqref="W58">
    <cfRule type="expression" dxfId="25" priority="9">
      <formula>OR($W58="Impact positif")</formula>
    </cfRule>
  </conditionalFormatting>
  <conditionalFormatting sqref="W39">
    <cfRule type="expression" dxfId="24" priority="7">
      <formula>OR($W39="Mineure")</formula>
    </cfRule>
    <cfRule type="expression" dxfId="23" priority="8">
      <formula>OR($W39="Impact positif")</formula>
    </cfRule>
  </conditionalFormatting>
  <conditionalFormatting sqref="P63:P65">
    <cfRule type="expression" dxfId="22" priority="4">
      <formula>OR($P63="Majeure")</formula>
    </cfRule>
    <cfRule type="expression" dxfId="21" priority="5">
      <formula>OR($P63="Moyenne")</formula>
    </cfRule>
    <cfRule type="expression" dxfId="20" priority="6">
      <formula>OR($P63="Mineure")</formula>
    </cfRule>
  </conditionalFormatting>
  <conditionalFormatting sqref="N61:N62">
    <cfRule type="expression" dxfId="19" priority="1">
      <formula>OR($N61="Moyenne")</formula>
    </cfRule>
    <cfRule type="expression" dxfId="18" priority="2">
      <formula>OR($N61="Mineure")</formula>
    </cfRule>
    <cfRule type="expression" dxfId="17" priority="3">
      <formula>OR($N61="Majeure")</formula>
    </cfRule>
  </conditionalFormatting>
  <dataValidations count="6">
    <dataValidation type="list" allowBlank="1" showInputMessage="1" showErrorMessage="1" sqref="V2" xr:uid="{00000000-0002-0000-0200-000000000000}">
      <formula1>"Courte,Moyenne,Longue"</formula1>
    </dataValidation>
    <dataValidation type="list" allowBlank="1" showInputMessage="1" showErrorMessage="1" sqref="V57:V58 V23:V37 V40:V54" xr:uid="{00000000-0002-0000-0200-000001000000}">
      <formula1>"courte,moyenne,longue"</formula1>
    </dataValidation>
    <dataValidation type="list" allowBlank="1" showInputMessage="1" showErrorMessage="1" sqref="P57:P58 P40:P54 P2 P23:P37" xr:uid="{00000000-0002-0000-0200-000002000000}">
      <formula1>"Ponctuelle,Locale,Régionale,Nationale"</formula1>
    </dataValidation>
    <dataValidation type="list" allowBlank="1" showInputMessage="1" showErrorMessage="1" sqref="G61:G65" xr:uid="{00000000-0002-0000-0200-000003000000}">
      <formula1>"Aucune présence, Présence potentielle, Présence occasionnelle, Présence régulière, Présence permanente"</formula1>
    </dataValidation>
    <dataValidation type="list" allowBlank="1" showInputMessage="1" showErrorMessage="1" sqref="I61:I65" xr:uid="{00000000-0002-0000-0200-000004000000}">
      <formula1>"Aucune protection, niveau local ou régional, niveau national (loi marocaine par ex.), Espèce inscrite sur la Liste rouge UICN (Préoccupation mineure à vulnérable), Espèce inscrite Liste rouge UICN (En danger / En danger critique)"</formula1>
    </dataValidation>
    <dataValidation type="list" allowBlank="1" showInputMessage="1" showErrorMessage="1" sqref="K61:K65" xr:uid="{00000000-0002-0000-0200-000005000000}">
      <formula1>"Aucune espèce protégée, Espèce peu menacée ou rare, Espèce vulnérable, Espèce en danger / endémique, Espèce en danger critique, Espèce protégée + reproduction"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W66"/>
  <sheetViews>
    <sheetView topLeftCell="A50" zoomScale="40" zoomScaleNormal="40" workbookViewId="0">
      <selection activeCell="T64" sqref="T64"/>
    </sheetView>
  </sheetViews>
  <sheetFormatPr defaultColWidth="11.453125" defaultRowHeight="18"/>
  <cols>
    <col min="1" max="1" width="38.81640625" style="137" customWidth="1"/>
    <col min="2" max="2" width="29.54296875" style="137" customWidth="1"/>
    <col min="3" max="3" width="22.54296875" style="137" customWidth="1"/>
    <col min="4" max="4" width="15" style="137" customWidth="1"/>
    <col min="5" max="5" width="14.54296875" style="137" customWidth="1"/>
    <col min="6" max="6" width="17.26953125" style="137" customWidth="1"/>
    <col min="7" max="7" width="14.453125" style="137" bestFit="1" customWidth="1"/>
    <col min="8" max="8" width="11.453125" style="137"/>
    <col min="9" max="9" width="13.7265625" style="137" customWidth="1"/>
    <col min="10" max="10" width="17" style="137" customWidth="1"/>
    <col min="11" max="11" width="20.453125" style="137" customWidth="1"/>
    <col min="12" max="12" width="11.453125" style="137"/>
    <col min="13" max="13" width="16.453125" style="137" customWidth="1"/>
    <col min="14" max="14" width="23.453125" style="137" customWidth="1"/>
    <col min="15" max="15" width="16.54296875" style="137" customWidth="1"/>
    <col min="16" max="16" width="15.7265625" style="137" customWidth="1"/>
    <col min="17" max="17" width="11.453125" style="137"/>
    <col min="18" max="18" width="14.453125" style="137" bestFit="1" customWidth="1"/>
    <col min="19" max="20" width="11.453125" style="137"/>
    <col min="21" max="21" width="17.26953125" style="137" customWidth="1"/>
    <col min="22" max="22" width="18" style="137" customWidth="1"/>
    <col min="23" max="23" width="25.81640625" style="137" customWidth="1"/>
    <col min="24" max="16384" width="11.453125" style="137"/>
  </cols>
  <sheetData>
    <row r="1" spans="1:23" ht="95.25" customHeight="1" thickBot="1">
      <c r="A1" s="131" t="s">
        <v>89</v>
      </c>
      <c r="B1" s="132" t="s">
        <v>0</v>
      </c>
      <c r="C1" s="133" t="s">
        <v>1</v>
      </c>
      <c r="D1" s="136" t="s">
        <v>274</v>
      </c>
      <c r="E1" s="136" t="s">
        <v>275</v>
      </c>
      <c r="F1" s="341" t="s">
        <v>119</v>
      </c>
      <c r="G1" s="400" t="s">
        <v>116</v>
      </c>
      <c r="H1" s="401"/>
      <c r="I1" s="132" t="s">
        <v>152</v>
      </c>
      <c r="J1" s="341" t="s">
        <v>241</v>
      </c>
      <c r="K1" s="134" t="s">
        <v>156</v>
      </c>
      <c r="L1" s="132" t="s">
        <v>116</v>
      </c>
      <c r="M1" s="186" t="s">
        <v>125</v>
      </c>
      <c r="N1" s="186" t="s">
        <v>155</v>
      </c>
      <c r="O1" s="132" t="s">
        <v>153</v>
      </c>
      <c r="P1" s="341" t="s">
        <v>63</v>
      </c>
      <c r="Q1" s="135" t="s">
        <v>213</v>
      </c>
      <c r="R1" s="413" t="s">
        <v>157</v>
      </c>
      <c r="S1" s="414"/>
      <c r="T1" s="132" t="s">
        <v>154</v>
      </c>
      <c r="U1" s="132" t="s">
        <v>222</v>
      </c>
      <c r="V1" s="340" t="s">
        <v>52</v>
      </c>
      <c r="W1" s="136" t="s">
        <v>224</v>
      </c>
    </row>
    <row r="2" spans="1:23" ht="19.5" customHeight="1" thickTop="1">
      <c r="A2" s="396" t="s">
        <v>33</v>
      </c>
      <c r="B2" s="138" t="s">
        <v>223</v>
      </c>
      <c r="C2" s="139" t="s">
        <v>2</v>
      </c>
      <c r="D2" s="232">
        <v>10</v>
      </c>
      <c r="E2" s="233">
        <v>30</v>
      </c>
      <c r="F2" s="151">
        <v>8</v>
      </c>
      <c r="G2">
        <f>IF(AND(F2&gt;=D2,F2&lt;=E2),0,
 IF(AND(F2&gt;=D2*0.8,F2&lt;=E2*1.2),1,
 2))</f>
        <v>1</v>
      </c>
      <c r="H2" s="399">
        <f>AVERAGE(G2:G22)</f>
        <v>0.38095238095238093</v>
      </c>
      <c r="I2" s="361" t="str">
        <f>IF(H2&lt;=0.5,"Faible",IF(H2&lt;=1,"Moyenne","Forte"))</f>
        <v>Faible</v>
      </c>
      <c r="J2" s="141">
        <v>3</v>
      </c>
      <c r="K2" s="141">
        <v>7.5449999999999999</v>
      </c>
      <c r="L2" s="142">
        <f>IF(AND(K2&gt;=D2,K2&lt;=E2),0,
 IF(AND(K2&gt;=D2*0.8,K2&lt;=E2*1.2),1,
 2))</f>
        <v>2</v>
      </c>
      <c r="M2" s="384">
        <f>AVERAGE(L2:L22)</f>
        <v>0.52380952380952384</v>
      </c>
      <c r="N2" s="361" t="str">
        <f>IF(M2&lt;=0.5,"Faible",IF(M2&lt;=1,"MOYENNE","Forte"))</f>
        <v>MOYENNE</v>
      </c>
      <c r="O2" s="361" t="str">
        <f>IF(AND(N2="FORTE",I2="FORTE"),"FORTE",
 IF(AND(N2="FORTE",I2="MOYENNE"),"FORTE",
 IF(AND(N2="FORTE",I2="FAIBLE"),"MOYENNE",
 IF(AND(N2="MOYENNE",I2="FORTE"),"FORTE",
 IF(AND(N2="MOYENNE",I2="MOYENNE"),"MOYENNE",
 IF(AND(N2="MOYENNE",I2="FAIBLE"),"FAIBLE",
 IF(AND(N2="FAIBLE",I2="FORTE"),"MOYENNE",
 IF(AND(N2="FAIBLE",I2="MOYENNE"),"FAIBLE",
 IF(AND(N2="FAIBLE",I2="FAIBLE"),"FAIBLE","Erreur")))))))))</f>
        <v>FAIBLE</v>
      </c>
      <c r="P2" s="361" t="s">
        <v>58</v>
      </c>
      <c r="Q2" s="361">
        <f>IF(P2="Ponctuelle",0,
IF(P2="Locale",0.5,
IF(P2="Régionale",1.25,
IF(P2="Nationale",2,
""))))</f>
        <v>1.25</v>
      </c>
      <c r="R2" s="143">
        <f t="shared" ref="R2:R38" si="0">IF(AND(J2&gt;=D2,J2&lt;=E2),0,IF(AND(J2&gt;=D2*0.8,J2&lt;=E2*1.2),1,2))</f>
        <v>2</v>
      </c>
      <c r="S2" s="384">
        <f>AVERAGE(R2:R22)</f>
        <v>1.3333333333333333</v>
      </c>
      <c r="T2" s="361" t="str">
        <f>IF(S2&lt;=1,"FAIBLE",IF(S2=2,"MOYENNE","FORTE"))</f>
        <v>FORTE</v>
      </c>
      <c r="U2" s="361" t="str">
        <f>IF(O2="ABSOLUE","Inadmissible",
IF(O2="Forte",
    IF(T2="Forte",
        IF(OR(P2="Nationale",P2="Régionale",P2="Locale"),"Majeure","Moyenne"),
    IF(T2="Moyenne",
        IF(OR(P2="Nationale",P2="Régionale"),"Majeure","Moyenne"),
    IF(T2="Faible",
        IF(OR(P2="Nationale",P2="Régionale"),"Majeure","Mineure"),
    ""))),
IF(O2="Moyenne",
    IF(T2="Forte",
        IF(P2="Nationale","Majeure",
        IF(P2="Régionale","Moyenne","Moyenne")),
    IF(T2="Moyenne","Moyenne",
    IF(T2="Faible",
        IF(OR(P2="Nationale",P2="Régionale"),"Moyenne","Mineure"),
    ""))),
IF(O2="Faible",
    IF(T2="Forte",
        IF(OR(P2="Nationale",P2="Régionale"),"Moyenne","Mineure"),
    IF(T2="Moyenne","Mineure",
    "Mineure")),
IF(O2="Très Faible",
    IF(T2="Forte","Mineure",
    "Mineure à nulle"))))))</f>
        <v>Moyenne</v>
      </c>
      <c r="V2" s="359" t="s">
        <v>219</v>
      </c>
      <c r="W2" s="359" t="str">
        <f>IF(OR(U2="Mineure",U2="Mineure à nulle"),"Mineure",
 IF(U2="Moyenne",
    IF(V2="Courte","Mineure","Moyenne"),
 IF(U2="Majeure",
    IF(V2="Courte","Moyenne","Majeure"),
 "")))</f>
        <v>Moyenne</v>
      </c>
    </row>
    <row r="3" spans="1:23">
      <c r="A3" s="397"/>
      <c r="B3" s="144" t="s">
        <v>36</v>
      </c>
      <c r="C3" s="145" t="s">
        <v>4</v>
      </c>
      <c r="D3" s="232">
        <v>6.5</v>
      </c>
      <c r="E3" s="233">
        <v>8.5</v>
      </c>
      <c r="F3" s="151">
        <v>7</v>
      </c>
      <c r="G3" s="140">
        <f>IF(AND(F3&gt;=D3,F3&lt;=E3),0,
 IF(AND(F3&gt;=D3*0.8,F3&lt;=E3*1.2),1,
 2))</f>
        <v>0</v>
      </c>
      <c r="H3" s="377"/>
      <c r="I3" s="353"/>
      <c r="J3" s="141">
        <v>9</v>
      </c>
      <c r="K3" s="141">
        <v>7.1820000000000004</v>
      </c>
      <c r="L3" s="146">
        <f t="shared" ref="L3:L38" si="1">IF(AND(K3&gt;=D3,K3&lt;=E3),0,IF(AND(K3&gt;=D3*0.8,K3&lt;=E3*1.2),1,2))</f>
        <v>0</v>
      </c>
      <c r="M3" s="347"/>
      <c r="N3" s="353"/>
      <c r="O3" s="353"/>
      <c r="P3" s="353"/>
      <c r="Q3" s="353"/>
      <c r="R3" s="147">
        <f t="shared" si="0"/>
        <v>1</v>
      </c>
      <c r="S3" s="347"/>
      <c r="T3" s="353"/>
      <c r="U3" s="353"/>
      <c r="V3" s="353"/>
      <c r="W3" s="353"/>
    </row>
    <row r="4" spans="1:23">
      <c r="A4" s="397"/>
      <c r="B4" s="144" t="s">
        <v>5</v>
      </c>
      <c r="C4" s="145" t="s">
        <v>6</v>
      </c>
      <c r="D4" s="234">
        <v>0</v>
      </c>
      <c r="E4" s="233">
        <v>5</v>
      </c>
      <c r="F4" s="151">
        <v>4</v>
      </c>
      <c r="G4" s="140">
        <f t="shared" ref="G4:G38" si="2">IF(AND(F4&gt;=D4,F4&lt;=E4),0,IF(AND(F4&gt;=D4*0.8,F4&lt;=E4*1.2),1,2))</f>
        <v>0</v>
      </c>
      <c r="H4" s="377"/>
      <c r="I4" s="353"/>
      <c r="J4" s="141">
        <v>7</v>
      </c>
      <c r="K4" s="141">
        <v>4.2729999999999997</v>
      </c>
      <c r="L4" s="146">
        <f t="shared" si="1"/>
        <v>0</v>
      </c>
      <c r="M4" s="347"/>
      <c r="N4" s="353"/>
      <c r="O4" s="353"/>
      <c r="P4" s="353"/>
      <c r="Q4" s="353"/>
      <c r="R4" s="147">
        <f t="shared" si="0"/>
        <v>2</v>
      </c>
      <c r="S4" s="347"/>
      <c r="T4" s="353"/>
      <c r="U4" s="353"/>
      <c r="V4" s="353"/>
      <c r="W4" s="353"/>
    </row>
    <row r="5" spans="1:23">
      <c r="A5" s="397"/>
      <c r="B5" s="144" t="s">
        <v>7</v>
      </c>
      <c r="C5" s="145" t="s">
        <v>8</v>
      </c>
      <c r="D5" s="234">
        <v>0</v>
      </c>
      <c r="E5" s="233">
        <v>2000</v>
      </c>
      <c r="F5" s="151">
        <v>2001</v>
      </c>
      <c r="G5" s="140">
        <f t="shared" si="2"/>
        <v>1</v>
      </c>
      <c r="H5" s="377"/>
      <c r="I5" s="353"/>
      <c r="J5" s="141">
        <v>2009</v>
      </c>
      <c r="K5" s="141">
        <v>2001.7270000000001</v>
      </c>
      <c r="L5" s="146">
        <f t="shared" si="1"/>
        <v>1</v>
      </c>
      <c r="M5" s="347"/>
      <c r="N5" s="353"/>
      <c r="O5" s="353"/>
      <c r="P5" s="353"/>
      <c r="Q5" s="353"/>
      <c r="R5" s="147">
        <f t="shared" si="0"/>
        <v>1</v>
      </c>
      <c r="S5" s="347"/>
      <c r="T5" s="353"/>
      <c r="U5" s="353"/>
      <c r="V5" s="353"/>
      <c r="W5" s="353"/>
    </row>
    <row r="6" spans="1:23">
      <c r="A6" s="397"/>
      <c r="B6" s="144" t="s">
        <v>9</v>
      </c>
      <c r="C6" s="145" t="s">
        <v>10</v>
      </c>
      <c r="D6" s="234">
        <v>0</v>
      </c>
      <c r="E6" s="233">
        <v>5</v>
      </c>
      <c r="F6" s="151">
        <v>5</v>
      </c>
      <c r="G6" s="140">
        <f t="shared" si="2"/>
        <v>0</v>
      </c>
      <c r="H6" s="377"/>
      <c r="I6" s="353"/>
      <c r="J6" s="141">
        <v>6</v>
      </c>
      <c r="K6" s="141">
        <v>5.0910000000000002</v>
      </c>
      <c r="L6" s="146">
        <f t="shared" si="1"/>
        <v>1</v>
      </c>
      <c r="M6" s="347"/>
      <c r="N6" s="353"/>
      <c r="O6" s="353"/>
      <c r="P6" s="353"/>
      <c r="Q6" s="353"/>
      <c r="R6" s="147">
        <f t="shared" si="0"/>
        <v>1</v>
      </c>
      <c r="S6" s="347"/>
      <c r="T6" s="353"/>
      <c r="U6" s="353"/>
      <c r="V6" s="353"/>
      <c r="W6" s="353"/>
    </row>
    <row r="7" spans="1:23">
      <c r="A7" s="397"/>
      <c r="B7" s="144" t="s">
        <v>11</v>
      </c>
      <c r="C7" s="145" t="s">
        <v>10</v>
      </c>
      <c r="D7" s="234">
        <v>0</v>
      </c>
      <c r="E7" s="233">
        <v>25</v>
      </c>
      <c r="F7" s="151">
        <v>26</v>
      </c>
      <c r="G7" s="141">
        <f t="shared" si="2"/>
        <v>1</v>
      </c>
      <c r="H7" s="377"/>
      <c r="I7" s="353"/>
      <c r="J7" s="141">
        <v>30</v>
      </c>
      <c r="K7" s="141">
        <v>26.364000000000001</v>
      </c>
      <c r="L7" s="146">
        <f t="shared" si="1"/>
        <v>1</v>
      </c>
      <c r="M7" s="347"/>
      <c r="N7" s="353"/>
      <c r="O7" s="353"/>
      <c r="P7" s="353"/>
      <c r="Q7" s="353"/>
      <c r="R7" s="147">
        <f t="shared" si="0"/>
        <v>1</v>
      </c>
      <c r="S7" s="347"/>
      <c r="T7" s="353"/>
      <c r="U7" s="353"/>
      <c r="V7" s="353"/>
      <c r="W7" s="353"/>
    </row>
    <row r="8" spans="1:23">
      <c r="A8" s="397"/>
      <c r="B8" s="144" t="s">
        <v>12</v>
      </c>
      <c r="C8" s="145" t="s">
        <v>10</v>
      </c>
      <c r="D8" s="234">
        <v>0</v>
      </c>
      <c r="E8" s="233">
        <v>5</v>
      </c>
      <c r="F8" s="151">
        <v>8</v>
      </c>
      <c r="G8" s="141">
        <f t="shared" si="2"/>
        <v>2</v>
      </c>
      <c r="H8" s="377"/>
      <c r="I8" s="353"/>
      <c r="J8" s="141">
        <v>4</v>
      </c>
      <c r="K8" s="141">
        <v>7.6360000000000001</v>
      </c>
      <c r="L8" s="146">
        <f t="shared" si="1"/>
        <v>2</v>
      </c>
      <c r="M8" s="347"/>
      <c r="N8" s="353"/>
      <c r="O8" s="353"/>
      <c r="P8" s="353"/>
      <c r="Q8" s="353"/>
      <c r="R8" s="147">
        <f t="shared" si="0"/>
        <v>0</v>
      </c>
      <c r="S8" s="347"/>
      <c r="T8" s="353"/>
      <c r="U8" s="353"/>
      <c r="V8" s="353"/>
      <c r="W8" s="353"/>
    </row>
    <row r="9" spans="1:23">
      <c r="A9" s="397"/>
      <c r="B9" s="144" t="s">
        <v>13</v>
      </c>
      <c r="C9" s="145" t="s">
        <v>10</v>
      </c>
      <c r="D9" s="234">
        <v>0</v>
      </c>
      <c r="E9" s="233">
        <v>50</v>
      </c>
      <c r="F9" s="151">
        <v>0</v>
      </c>
      <c r="G9" s="141">
        <f t="shared" si="2"/>
        <v>0</v>
      </c>
      <c r="H9" s="377"/>
      <c r="I9" s="353"/>
      <c r="J9" s="141">
        <v>66</v>
      </c>
      <c r="K9" s="141">
        <v>6</v>
      </c>
      <c r="L9" s="146">
        <f t="shared" si="1"/>
        <v>0</v>
      </c>
      <c r="M9" s="347"/>
      <c r="N9" s="353"/>
      <c r="O9" s="353"/>
      <c r="P9" s="353"/>
      <c r="Q9" s="353"/>
      <c r="R9" s="147">
        <f t="shared" si="0"/>
        <v>2</v>
      </c>
      <c r="S9" s="347"/>
      <c r="T9" s="353"/>
      <c r="U9" s="353"/>
      <c r="V9" s="353"/>
      <c r="W9" s="353"/>
    </row>
    <row r="10" spans="1:23">
      <c r="A10" s="397"/>
      <c r="B10" s="144" t="s">
        <v>14</v>
      </c>
      <c r="C10" s="145" t="s">
        <v>10</v>
      </c>
      <c r="D10" s="234">
        <v>0</v>
      </c>
      <c r="E10" s="233">
        <v>0.1</v>
      </c>
      <c r="F10" s="151">
        <v>0</v>
      </c>
      <c r="G10" s="141">
        <f t="shared" si="2"/>
        <v>0</v>
      </c>
      <c r="H10" s="377"/>
      <c r="I10" s="353"/>
      <c r="J10" s="141">
        <v>0.8</v>
      </c>
      <c r="K10" s="141">
        <v>7.2999999999999995E-2</v>
      </c>
      <c r="L10" s="146">
        <f t="shared" si="1"/>
        <v>0</v>
      </c>
      <c r="M10" s="347"/>
      <c r="N10" s="353"/>
      <c r="O10" s="353"/>
      <c r="P10" s="353"/>
      <c r="Q10" s="353"/>
      <c r="R10" s="147">
        <f t="shared" si="0"/>
        <v>2</v>
      </c>
      <c r="S10" s="347"/>
      <c r="T10" s="353"/>
      <c r="U10" s="353"/>
      <c r="V10" s="353"/>
      <c r="W10" s="353"/>
    </row>
    <row r="11" spans="1:23">
      <c r="A11" s="397"/>
      <c r="B11" s="144" t="s">
        <v>15</v>
      </c>
      <c r="C11" s="145" t="s">
        <v>10</v>
      </c>
      <c r="D11" s="234">
        <v>0</v>
      </c>
      <c r="E11" s="233">
        <v>0.5</v>
      </c>
      <c r="F11" s="151">
        <v>0</v>
      </c>
      <c r="G11" s="141">
        <f t="shared" si="2"/>
        <v>0</v>
      </c>
      <c r="H11" s="377"/>
      <c r="I11" s="353"/>
      <c r="J11" s="141">
        <v>0.7</v>
      </c>
      <c r="K11" s="141">
        <v>6.4000000000000001E-2</v>
      </c>
      <c r="L11" s="146">
        <f t="shared" si="1"/>
        <v>0</v>
      </c>
      <c r="M11" s="347"/>
      <c r="N11" s="353"/>
      <c r="O11" s="353"/>
      <c r="P11" s="353"/>
      <c r="Q11" s="353"/>
      <c r="R11" s="147">
        <f t="shared" si="0"/>
        <v>2</v>
      </c>
      <c r="S11" s="347"/>
      <c r="T11" s="353"/>
      <c r="U11" s="353"/>
      <c r="V11" s="353"/>
      <c r="W11" s="353"/>
    </row>
    <row r="12" spans="1:23">
      <c r="A12" s="397"/>
      <c r="B12" s="144" t="s">
        <v>16</v>
      </c>
      <c r="C12" s="145" t="s">
        <v>10</v>
      </c>
      <c r="D12" s="234">
        <v>0</v>
      </c>
      <c r="E12" s="233">
        <v>5.2999999999999999E-2</v>
      </c>
      <c r="F12" s="151">
        <v>0</v>
      </c>
      <c r="G12" s="141">
        <f t="shared" si="2"/>
        <v>0</v>
      </c>
      <c r="H12" s="377"/>
      <c r="I12" s="353"/>
      <c r="J12" s="141">
        <v>9.9000000000000005E-2</v>
      </c>
      <c r="K12" s="141">
        <v>8.9999999999999993E-3</v>
      </c>
      <c r="L12" s="146">
        <f t="shared" si="1"/>
        <v>0</v>
      </c>
      <c r="M12" s="347"/>
      <c r="N12" s="353"/>
      <c r="O12" s="353"/>
      <c r="P12" s="353"/>
      <c r="Q12" s="353"/>
      <c r="R12" s="147">
        <f t="shared" si="0"/>
        <v>2</v>
      </c>
      <c r="S12" s="347"/>
      <c r="T12" s="353"/>
      <c r="U12" s="353"/>
      <c r="V12" s="353"/>
      <c r="W12" s="353"/>
    </row>
    <row r="13" spans="1:23">
      <c r="A13" s="397"/>
      <c r="B13" s="144" t="s">
        <v>17</v>
      </c>
      <c r="C13" s="148" t="s">
        <v>10</v>
      </c>
      <c r="D13" s="234">
        <v>0</v>
      </c>
      <c r="E13" s="233">
        <v>0.1</v>
      </c>
      <c r="F13" s="151">
        <v>0</v>
      </c>
      <c r="G13" s="141">
        <f t="shared" si="2"/>
        <v>0</v>
      </c>
      <c r="H13" s="377"/>
      <c r="I13" s="353"/>
      <c r="J13" s="141">
        <v>0.9</v>
      </c>
      <c r="K13" s="141">
        <v>8.2000000000000003E-2</v>
      </c>
      <c r="L13" s="146">
        <f t="shared" si="1"/>
        <v>0</v>
      </c>
      <c r="M13" s="347"/>
      <c r="N13" s="353"/>
      <c r="O13" s="353"/>
      <c r="P13" s="353"/>
      <c r="Q13" s="353"/>
      <c r="R13" s="147">
        <f t="shared" si="0"/>
        <v>2</v>
      </c>
      <c r="S13" s="347"/>
      <c r="T13" s="353"/>
      <c r="U13" s="353"/>
      <c r="V13" s="353"/>
      <c r="W13" s="353"/>
    </row>
    <row r="14" spans="1:23">
      <c r="A14" s="397"/>
      <c r="B14" s="149" t="s">
        <v>38</v>
      </c>
      <c r="C14" s="150"/>
      <c r="D14" s="234">
        <v>0</v>
      </c>
      <c r="E14" s="233">
        <v>0.01</v>
      </c>
      <c r="F14" s="151">
        <v>0</v>
      </c>
      <c r="G14" s="141">
        <f t="shared" si="2"/>
        <v>0</v>
      </c>
      <c r="H14" s="377"/>
      <c r="I14" s="353"/>
      <c r="J14" s="141">
        <v>0.04</v>
      </c>
      <c r="K14" s="141">
        <v>4.0000000000000001E-3</v>
      </c>
      <c r="L14" s="146">
        <f t="shared" si="1"/>
        <v>0</v>
      </c>
      <c r="M14" s="347"/>
      <c r="N14" s="353"/>
      <c r="O14" s="353"/>
      <c r="P14" s="353"/>
      <c r="Q14" s="353"/>
      <c r="R14" s="147">
        <f t="shared" si="0"/>
        <v>2</v>
      </c>
      <c r="S14" s="347"/>
      <c r="T14" s="353"/>
      <c r="U14" s="353"/>
      <c r="V14" s="353"/>
      <c r="W14" s="353"/>
    </row>
    <row r="15" spans="1:23">
      <c r="A15" s="397"/>
      <c r="B15" s="149" t="s">
        <v>39</v>
      </c>
      <c r="C15" s="150"/>
      <c r="D15" s="234">
        <v>0</v>
      </c>
      <c r="E15" s="233">
        <v>3.0000000000000001E-3</v>
      </c>
      <c r="F15" s="151">
        <v>0</v>
      </c>
      <c r="G15" s="141">
        <f t="shared" si="2"/>
        <v>0</v>
      </c>
      <c r="H15" s="377"/>
      <c r="I15" s="353"/>
      <c r="J15" s="141">
        <v>8.9999999999999993E-3</v>
      </c>
      <c r="K15" s="141">
        <v>1E-3</v>
      </c>
      <c r="L15" s="146">
        <f t="shared" si="1"/>
        <v>0</v>
      </c>
      <c r="M15" s="347"/>
      <c r="N15" s="353"/>
      <c r="O15" s="353"/>
      <c r="P15" s="353"/>
      <c r="Q15" s="353"/>
      <c r="R15" s="147">
        <f t="shared" si="0"/>
        <v>2</v>
      </c>
      <c r="S15" s="347"/>
      <c r="T15" s="353"/>
      <c r="U15" s="353"/>
      <c r="V15" s="353"/>
      <c r="W15" s="353"/>
    </row>
    <row r="16" spans="1:23">
      <c r="A16" s="397"/>
      <c r="B16" s="149" t="s">
        <v>40</v>
      </c>
      <c r="C16" s="150"/>
      <c r="D16" s="234">
        <v>0</v>
      </c>
      <c r="E16" s="233">
        <v>0.05</v>
      </c>
      <c r="F16" s="151">
        <v>0</v>
      </c>
      <c r="G16" s="141">
        <f t="shared" si="2"/>
        <v>0</v>
      </c>
      <c r="H16" s="377"/>
      <c r="I16" s="353"/>
      <c r="J16" s="141">
        <v>7.0000000000000001E-3</v>
      </c>
      <c r="K16" s="141">
        <v>1E-3</v>
      </c>
      <c r="L16" s="146">
        <f t="shared" si="1"/>
        <v>0</v>
      </c>
      <c r="M16" s="347"/>
      <c r="N16" s="353"/>
      <c r="O16" s="353"/>
      <c r="P16" s="353"/>
      <c r="Q16" s="353"/>
      <c r="R16" s="147">
        <f t="shared" si="0"/>
        <v>0</v>
      </c>
      <c r="S16" s="347"/>
      <c r="T16" s="353"/>
      <c r="U16" s="353"/>
      <c r="V16" s="353"/>
      <c r="W16" s="353"/>
    </row>
    <row r="17" spans="1:23">
      <c r="A17" s="397"/>
      <c r="B17" s="149" t="s">
        <v>41</v>
      </c>
      <c r="C17" s="150"/>
      <c r="D17" s="234">
        <v>0</v>
      </c>
      <c r="E17" s="233">
        <v>2</v>
      </c>
      <c r="F17" s="151">
        <v>0</v>
      </c>
      <c r="G17" s="141">
        <f t="shared" si="2"/>
        <v>0</v>
      </c>
      <c r="H17" s="377"/>
      <c r="I17" s="353"/>
      <c r="J17" s="141">
        <v>3</v>
      </c>
      <c r="K17" s="141">
        <v>0.27300000000000002</v>
      </c>
      <c r="L17" s="146">
        <f t="shared" si="1"/>
        <v>0</v>
      </c>
      <c r="M17" s="347"/>
      <c r="N17" s="353"/>
      <c r="O17" s="353"/>
      <c r="P17" s="353"/>
      <c r="Q17" s="353"/>
      <c r="R17" s="147">
        <f t="shared" si="0"/>
        <v>2</v>
      </c>
      <c r="S17" s="347"/>
      <c r="T17" s="353"/>
      <c r="U17" s="353"/>
      <c r="V17" s="353"/>
      <c r="W17" s="353"/>
    </row>
    <row r="18" spans="1:23">
      <c r="A18" s="397"/>
      <c r="B18" s="149" t="s">
        <v>42</v>
      </c>
      <c r="C18" s="150"/>
      <c r="D18" s="234">
        <v>0</v>
      </c>
      <c r="E18" s="233">
        <v>3</v>
      </c>
      <c r="F18" s="151">
        <v>0</v>
      </c>
      <c r="G18" s="141">
        <f t="shared" si="2"/>
        <v>0</v>
      </c>
      <c r="H18" s="377"/>
      <c r="I18" s="353"/>
      <c r="J18" s="141">
        <v>0.08</v>
      </c>
      <c r="K18" s="141">
        <v>7.0000000000000001E-3</v>
      </c>
      <c r="L18" s="146">
        <f t="shared" si="1"/>
        <v>0</v>
      </c>
      <c r="M18" s="347"/>
      <c r="N18" s="353"/>
      <c r="O18" s="353"/>
      <c r="P18" s="353"/>
      <c r="Q18" s="353"/>
      <c r="R18" s="147">
        <f t="shared" si="0"/>
        <v>0</v>
      </c>
      <c r="S18" s="347"/>
      <c r="T18" s="353"/>
      <c r="U18" s="353"/>
      <c r="V18" s="353"/>
      <c r="W18" s="353"/>
    </row>
    <row r="19" spans="1:23">
      <c r="A19" s="397"/>
      <c r="B19" s="149" t="s">
        <v>43</v>
      </c>
      <c r="C19" s="150"/>
      <c r="D19" s="234">
        <v>0</v>
      </c>
      <c r="E19" s="233">
        <v>0.02</v>
      </c>
      <c r="F19" s="151">
        <v>0</v>
      </c>
      <c r="G19" s="141">
        <f t="shared" si="2"/>
        <v>0</v>
      </c>
      <c r="H19" s="377"/>
      <c r="I19" s="353"/>
      <c r="J19" s="141">
        <v>7.0000000000000001E-3</v>
      </c>
      <c r="K19" s="141">
        <v>1E-3</v>
      </c>
      <c r="L19" s="146">
        <f t="shared" si="1"/>
        <v>0</v>
      </c>
      <c r="M19" s="347"/>
      <c r="N19" s="353"/>
      <c r="O19" s="353"/>
      <c r="P19" s="353"/>
      <c r="Q19" s="353"/>
      <c r="R19" s="147">
        <f t="shared" si="0"/>
        <v>0</v>
      </c>
      <c r="S19" s="347"/>
      <c r="T19" s="353"/>
      <c r="U19" s="353"/>
      <c r="V19" s="353"/>
      <c r="W19" s="353"/>
    </row>
    <row r="20" spans="1:23">
      <c r="A20" s="397"/>
      <c r="B20" s="149" t="s">
        <v>44</v>
      </c>
      <c r="C20" s="150"/>
      <c r="D20" s="234">
        <v>0</v>
      </c>
      <c r="E20" s="233">
        <v>1E-3</v>
      </c>
      <c r="F20" s="151">
        <v>1.2E-2</v>
      </c>
      <c r="G20" s="141">
        <f t="shared" si="2"/>
        <v>2</v>
      </c>
      <c r="H20" s="377"/>
      <c r="I20" s="353"/>
      <c r="J20" s="141">
        <v>0.02</v>
      </c>
      <c r="K20" s="141">
        <v>1.2999999999999999E-2</v>
      </c>
      <c r="L20" s="146">
        <f t="shared" si="1"/>
        <v>2</v>
      </c>
      <c r="M20" s="347"/>
      <c r="N20" s="353"/>
      <c r="O20" s="353"/>
      <c r="P20" s="353"/>
      <c r="Q20" s="353"/>
      <c r="R20" s="147">
        <f t="shared" si="0"/>
        <v>2</v>
      </c>
      <c r="S20" s="347"/>
      <c r="T20" s="353"/>
      <c r="U20" s="353"/>
      <c r="V20" s="353"/>
      <c r="W20" s="353"/>
    </row>
    <row r="21" spans="1:23">
      <c r="A21" s="397"/>
      <c r="B21" s="149" t="s">
        <v>45</v>
      </c>
      <c r="C21" s="150"/>
      <c r="D21" s="234">
        <v>0</v>
      </c>
      <c r="E21" s="233">
        <v>0.01</v>
      </c>
      <c r="F21" s="151">
        <v>1.2E-2</v>
      </c>
      <c r="G21" s="141">
        <f t="shared" si="2"/>
        <v>1</v>
      </c>
      <c r="H21" s="377"/>
      <c r="I21" s="353"/>
      <c r="J21" s="141">
        <v>0.01</v>
      </c>
      <c r="K21" s="141">
        <v>1.2E-2</v>
      </c>
      <c r="L21" s="146">
        <f t="shared" si="1"/>
        <v>1</v>
      </c>
      <c r="M21" s="347"/>
      <c r="N21" s="353"/>
      <c r="O21" s="353"/>
      <c r="P21" s="353"/>
      <c r="Q21" s="353"/>
      <c r="R21" s="147">
        <f t="shared" si="0"/>
        <v>0</v>
      </c>
      <c r="S21" s="347"/>
      <c r="T21" s="353"/>
      <c r="U21" s="353"/>
      <c r="V21" s="353"/>
      <c r="W21" s="353"/>
    </row>
    <row r="22" spans="1:23" ht="36.5" thickBot="1">
      <c r="A22" s="398"/>
      <c r="B22" s="152" t="s">
        <v>37</v>
      </c>
      <c r="C22" s="153" t="s">
        <v>10</v>
      </c>
      <c r="D22" s="266">
        <v>0</v>
      </c>
      <c r="E22" s="267">
        <v>0.05</v>
      </c>
      <c r="F22" s="224">
        <v>0.05</v>
      </c>
      <c r="G22" s="154">
        <f t="shared" si="2"/>
        <v>0</v>
      </c>
      <c r="H22" s="378"/>
      <c r="I22" s="354"/>
      <c r="J22" s="154">
        <v>0.09</v>
      </c>
      <c r="K22" s="154">
        <v>5.3999999999999999E-2</v>
      </c>
      <c r="L22" s="155">
        <f t="shared" si="1"/>
        <v>1</v>
      </c>
      <c r="M22" s="348"/>
      <c r="N22" s="354"/>
      <c r="O22" s="354"/>
      <c r="P22" s="354"/>
      <c r="Q22" s="354"/>
      <c r="R22" s="156">
        <f t="shared" si="0"/>
        <v>2</v>
      </c>
      <c r="S22" s="348"/>
      <c r="T22" s="354"/>
      <c r="U22" s="354"/>
      <c r="V22" s="354"/>
      <c r="W22" s="354"/>
    </row>
    <row r="23" spans="1:23" ht="18.75" customHeight="1">
      <c r="A23" s="385" t="s">
        <v>34</v>
      </c>
      <c r="B23" s="157" t="s">
        <v>3</v>
      </c>
      <c r="C23" s="158" t="s">
        <v>4</v>
      </c>
      <c r="D23" s="258">
        <v>5.5</v>
      </c>
      <c r="E23" s="259">
        <v>7.5</v>
      </c>
      <c r="F23" s="225">
        <v>9</v>
      </c>
      <c r="G23" s="159">
        <f t="shared" si="2"/>
        <v>1</v>
      </c>
      <c r="H23" s="388">
        <f>AVERAGE(G23:G36)</f>
        <v>0.35714285714285715</v>
      </c>
      <c r="I23" s="362" t="str">
        <f>IF(H23&lt;=0.5,"Faible",IF(H23&lt;=1,"Moyenne","Forte"))</f>
        <v>Faible</v>
      </c>
      <c r="J23" s="159">
        <v>9</v>
      </c>
      <c r="K23" s="141">
        <v>9</v>
      </c>
      <c r="L23" s="221">
        <f t="shared" si="1"/>
        <v>1</v>
      </c>
      <c r="M23" s="346">
        <f>AVERAGE(L23:L36)</f>
        <v>0.35714285714285715</v>
      </c>
      <c r="N23" s="362" t="str">
        <f>IF(M23&lt;=0.5,"Faible",IF(M23&lt;=1,"Moyenne","Forte"))</f>
        <v>Faible</v>
      </c>
      <c r="O23" s="352" t="str">
        <f>IF(AND(N23="FORTE",I23="FORTE"),"FORTE",
 IF(AND(N23="FORTE",I23="MOYENNE"),"FORTE",
 IF(AND(N23="FORTE",I23="FAIBLE"),"MOYENNE",
 IF(AND(N23="MOYENNE",I23="FORTE"),"FORTE",
 IF(AND(N23="MOYENNE",I23="MOYENNE"),"MOYENNE",
 IF(AND(N23="MOYENNE",I23="FAIBLE"),"FAIBLE",
 IF(AND(N23="FAIBLE",I23="FORTE"),"MOYENNE",
 IF(AND(N23="FAIBLE",I23="MOYENNE"),"FAIBLE",
 IF(AND(N23="FAIBLE",I23="FAIBLE"),"FAIBLE","Erreur")))))))))</f>
        <v>FAIBLE</v>
      </c>
      <c r="P23" s="352" t="s">
        <v>57</v>
      </c>
      <c r="Q23" s="352">
        <f>IF(P23="Ponctuelle",0,
IF(P23="Locale",0.5,
IF(P23="Régionale",1.25,
IF(P23="Nationale",2,
""))))</f>
        <v>0.5</v>
      </c>
      <c r="R23" s="147">
        <f t="shared" si="0"/>
        <v>1</v>
      </c>
      <c r="S23" s="346">
        <f>AVERAGE(R23:R36)</f>
        <v>0.2857142857142857</v>
      </c>
      <c r="T23" s="352" t="str">
        <f>IF(S23&lt;=1,"FAIBLE",IF(S23=2,"MOYENNE","FORTE"))</f>
        <v>FAIBLE</v>
      </c>
      <c r="U23" s="352" t="str">
        <f>IF(O23="ABSOLUE","Inadmissible",
IF(O23="Forte",
    IF(T23="Forte",
        IF(OR(P23="Nationale",P23="Régionale",P23="Locale"),"Majeure","Moyenne"),
    IF(T23="Moyenne",
        IF(OR(P23="Nationale",P23="Régionale"),"Majeure","Moyenne"),
    IF(T23="Faible",
        IF(OR(P23="Nationale",P23="Régionale"),"Majeure","Mineure"),
    ""))),
IF(O23="Moyenne",
    IF(T23="Forte",
        IF(P23="Nationale","Majeure",
        IF(P23="Régionale","Moyenne","Moyenne")),
    IF(T23="Moyenne","Moyenne",
    IF(T23="Faible",
        IF(OR(P23="Nationale",P23="Régionale"),"Moyenne","Mineure"),
    ""))),
IF(O23="Faible",
    IF(T23="Forte",
        IF(OR(P23="Nationale",P23="Régionale"),"Moyenne","Mineure"),
    IF(T23="Moyenne","Mineure",
    "Mineure")),
IF(O23="Très Faible",
    IF(T23="Forte","Mineure",
    "Mineure à nulle"))))))</f>
        <v>Mineure</v>
      </c>
      <c r="V23" s="352" t="s">
        <v>220</v>
      </c>
      <c r="W23" s="352" t="str">
        <f>IF(OR(U23="Mineure",U23="Mineure à nulle"),"Mineure",
 IF(U23="Moyenne",
    IF(V23="Courte","Mineure","Moyenne"),
 IF(U23="Majeure",
    IF(V23="Courte","Moyenne","Majeure"),
 "")))</f>
        <v>Mineure</v>
      </c>
    </row>
    <row r="24" spans="1:23" ht="18.75" customHeight="1">
      <c r="A24" s="386"/>
      <c r="B24" s="160" t="s">
        <v>18</v>
      </c>
      <c r="C24" s="161" t="s">
        <v>19</v>
      </c>
      <c r="D24" s="237">
        <v>9.9999999999999995E-7</v>
      </c>
      <c r="E24" s="236">
        <v>1E-3</v>
      </c>
      <c r="F24" s="226">
        <v>1E-3</v>
      </c>
      <c r="G24" s="184">
        <f t="shared" si="2"/>
        <v>0</v>
      </c>
      <c r="H24" s="389"/>
      <c r="I24" s="363"/>
      <c r="J24" s="162">
        <v>1E-3</v>
      </c>
      <c r="K24" s="141">
        <v>1E-3</v>
      </c>
      <c r="L24" s="146">
        <f t="shared" si="1"/>
        <v>0</v>
      </c>
      <c r="M24" s="347"/>
      <c r="N24" s="363"/>
      <c r="O24" s="353"/>
      <c r="P24" s="353"/>
      <c r="Q24" s="353"/>
      <c r="R24" s="147">
        <f t="shared" si="0"/>
        <v>0</v>
      </c>
      <c r="S24" s="347"/>
      <c r="T24" s="353"/>
      <c r="U24" s="353"/>
      <c r="V24" s="353"/>
      <c r="W24" s="353"/>
    </row>
    <row r="25" spans="1:23">
      <c r="A25" s="386"/>
      <c r="B25" s="160" t="s">
        <v>20</v>
      </c>
      <c r="C25" s="161" t="s">
        <v>21</v>
      </c>
      <c r="D25" s="235">
        <v>2</v>
      </c>
      <c r="E25" s="236">
        <v>10</v>
      </c>
      <c r="F25" s="151">
        <v>2</v>
      </c>
      <c r="G25" s="141">
        <f t="shared" si="2"/>
        <v>0</v>
      </c>
      <c r="H25" s="389"/>
      <c r="I25" s="363"/>
      <c r="J25" s="140">
        <v>2</v>
      </c>
      <c r="K25" s="141">
        <v>2</v>
      </c>
      <c r="L25" s="146">
        <f t="shared" si="1"/>
        <v>0</v>
      </c>
      <c r="M25" s="347"/>
      <c r="N25" s="363"/>
      <c r="O25" s="353"/>
      <c r="P25" s="353"/>
      <c r="Q25" s="353"/>
      <c r="R25" s="147">
        <f t="shared" si="0"/>
        <v>0</v>
      </c>
      <c r="S25" s="347"/>
      <c r="T25" s="353"/>
      <c r="U25" s="353"/>
      <c r="V25" s="353"/>
      <c r="W25" s="353"/>
    </row>
    <row r="26" spans="1:23">
      <c r="A26" s="386"/>
      <c r="B26" s="160" t="s">
        <v>22</v>
      </c>
      <c r="C26" s="161" t="s">
        <v>21</v>
      </c>
      <c r="D26" s="235">
        <v>1</v>
      </c>
      <c r="E26" s="236"/>
      <c r="F26" s="151">
        <v>2</v>
      </c>
      <c r="G26" s="140">
        <f t="shared" si="2"/>
        <v>2</v>
      </c>
      <c r="H26" s="389"/>
      <c r="I26" s="363"/>
      <c r="J26" s="140">
        <v>2</v>
      </c>
      <c r="K26" s="141">
        <v>2</v>
      </c>
      <c r="L26" s="146">
        <f t="shared" si="1"/>
        <v>2</v>
      </c>
      <c r="M26" s="347"/>
      <c r="N26" s="363"/>
      <c r="O26" s="353"/>
      <c r="P26" s="353"/>
      <c r="Q26" s="353"/>
      <c r="R26" s="147">
        <f t="shared" si="0"/>
        <v>2</v>
      </c>
      <c r="S26" s="347"/>
      <c r="T26" s="353"/>
      <c r="U26" s="353"/>
      <c r="V26" s="353"/>
      <c r="W26" s="353"/>
    </row>
    <row r="27" spans="1:23">
      <c r="A27" s="386"/>
      <c r="B27" s="163" t="s">
        <v>38</v>
      </c>
      <c r="C27" s="164"/>
      <c r="D27" s="235">
        <v>50</v>
      </c>
      <c r="E27" s="236">
        <v>300</v>
      </c>
      <c r="F27" s="227">
        <v>300</v>
      </c>
      <c r="G27" s="140">
        <f t="shared" si="2"/>
        <v>0</v>
      </c>
      <c r="H27" s="389"/>
      <c r="I27" s="363"/>
      <c r="J27" s="195">
        <v>300</v>
      </c>
      <c r="K27" s="141">
        <v>300</v>
      </c>
      <c r="L27" s="146">
        <f t="shared" si="1"/>
        <v>0</v>
      </c>
      <c r="M27" s="347"/>
      <c r="N27" s="363"/>
      <c r="O27" s="353"/>
      <c r="P27" s="353"/>
      <c r="Q27" s="353"/>
      <c r="R27" s="147">
        <f t="shared" si="0"/>
        <v>0</v>
      </c>
      <c r="S27" s="347"/>
      <c r="T27" s="353"/>
      <c r="U27" s="353"/>
      <c r="V27" s="353"/>
      <c r="W27" s="353"/>
    </row>
    <row r="28" spans="1:23">
      <c r="A28" s="386"/>
      <c r="B28" s="163" t="s">
        <v>39</v>
      </c>
      <c r="C28" s="164"/>
      <c r="D28" s="235">
        <v>1</v>
      </c>
      <c r="E28" s="236">
        <v>3</v>
      </c>
      <c r="F28" s="228">
        <v>3</v>
      </c>
      <c r="G28" s="140">
        <f t="shared" si="2"/>
        <v>0</v>
      </c>
      <c r="H28" s="389"/>
      <c r="I28" s="363"/>
      <c r="J28" s="165">
        <v>3</v>
      </c>
      <c r="K28" s="141">
        <v>3</v>
      </c>
      <c r="L28" s="146">
        <f t="shared" si="1"/>
        <v>0</v>
      </c>
      <c r="M28" s="347"/>
      <c r="N28" s="363"/>
      <c r="O28" s="353"/>
      <c r="P28" s="353"/>
      <c r="Q28" s="353"/>
      <c r="R28" s="147">
        <f t="shared" si="0"/>
        <v>0</v>
      </c>
      <c r="S28" s="347"/>
      <c r="T28" s="353"/>
      <c r="U28" s="353"/>
      <c r="V28" s="353"/>
      <c r="W28" s="353"/>
    </row>
    <row r="29" spans="1:23">
      <c r="A29" s="386"/>
      <c r="B29" s="163" t="s">
        <v>44</v>
      </c>
      <c r="C29" s="164"/>
      <c r="D29" s="235">
        <v>0.5</v>
      </c>
      <c r="E29" s="236">
        <v>2</v>
      </c>
      <c r="F29" s="228">
        <v>2</v>
      </c>
      <c r="G29" s="140">
        <f t="shared" si="2"/>
        <v>0</v>
      </c>
      <c r="H29" s="389"/>
      <c r="I29" s="363"/>
      <c r="J29" s="165">
        <v>2</v>
      </c>
      <c r="K29" s="141">
        <v>2</v>
      </c>
      <c r="L29" s="146">
        <f t="shared" si="1"/>
        <v>0</v>
      </c>
      <c r="M29" s="347"/>
      <c r="N29" s="363"/>
      <c r="O29" s="353"/>
      <c r="P29" s="353"/>
      <c r="Q29" s="353"/>
      <c r="R29" s="147">
        <f t="shared" si="0"/>
        <v>0</v>
      </c>
      <c r="S29" s="347"/>
      <c r="T29" s="353"/>
      <c r="U29" s="353"/>
      <c r="V29" s="353"/>
      <c r="W29" s="353"/>
    </row>
    <row r="30" spans="1:23">
      <c r="A30" s="386"/>
      <c r="B30" s="163" t="s">
        <v>45</v>
      </c>
      <c r="C30" s="164"/>
      <c r="D30" s="235">
        <v>10</v>
      </c>
      <c r="E30" s="236">
        <v>50</v>
      </c>
      <c r="F30" s="228">
        <v>30</v>
      </c>
      <c r="G30" s="140">
        <f t="shared" si="2"/>
        <v>0</v>
      </c>
      <c r="H30" s="389"/>
      <c r="I30" s="363"/>
      <c r="J30" s="165">
        <v>30</v>
      </c>
      <c r="K30" s="141">
        <v>30</v>
      </c>
      <c r="L30" s="146">
        <f t="shared" si="1"/>
        <v>0</v>
      </c>
      <c r="M30" s="347"/>
      <c r="N30" s="363"/>
      <c r="O30" s="353"/>
      <c r="P30" s="353"/>
      <c r="Q30" s="353"/>
      <c r="R30" s="147">
        <f t="shared" si="0"/>
        <v>0</v>
      </c>
      <c r="S30" s="347"/>
      <c r="T30" s="353"/>
      <c r="U30" s="353"/>
      <c r="V30" s="353"/>
      <c r="W30" s="353"/>
    </row>
    <row r="31" spans="1:23">
      <c r="A31" s="386"/>
      <c r="B31" s="163" t="s">
        <v>40</v>
      </c>
      <c r="C31" s="164"/>
      <c r="D31" s="235">
        <v>50</v>
      </c>
      <c r="E31" s="236">
        <v>200</v>
      </c>
      <c r="F31" s="228">
        <v>200</v>
      </c>
      <c r="G31" s="140">
        <f t="shared" si="2"/>
        <v>0</v>
      </c>
      <c r="H31" s="389"/>
      <c r="I31" s="363"/>
      <c r="J31" s="165">
        <v>200</v>
      </c>
      <c r="K31" s="141">
        <v>200</v>
      </c>
      <c r="L31" s="146">
        <f t="shared" si="1"/>
        <v>0</v>
      </c>
      <c r="M31" s="347"/>
      <c r="N31" s="363"/>
      <c r="O31" s="353"/>
      <c r="P31" s="353"/>
      <c r="Q31" s="353"/>
      <c r="R31" s="147">
        <f t="shared" si="0"/>
        <v>0</v>
      </c>
      <c r="S31" s="347"/>
      <c r="T31" s="353"/>
      <c r="U31" s="353"/>
      <c r="V31" s="353"/>
      <c r="W31" s="353"/>
    </row>
    <row r="32" spans="1:23">
      <c r="A32" s="386"/>
      <c r="B32" s="163" t="s">
        <v>41</v>
      </c>
      <c r="C32" s="164"/>
      <c r="D32" s="235">
        <v>50</v>
      </c>
      <c r="E32" s="236">
        <v>140</v>
      </c>
      <c r="F32" s="228">
        <v>900</v>
      </c>
      <c r="G32" s="140">
        <f t="shared" si="2"/>
        <v>2</v>
      </c>
      <c r="H32" s="389"/>
      <c r="I32" s="363"/>
      <c r="J32" s="165">
        <v>80</v>
      </c>
      <c r="K32" s="141">
        <v>825.45500000000004</v>
      </c>
      <c r="L32" s="146">
        <f t="shared" si="1"/>
        <v>2</v>
      </c>
      <c r="M32" s="347"/>
      <c r="N32" s="363"/>
      <c r="O32" s="353"/>
      <c r="P32" s="353"/>
      <c r="Q32" s="353"/>
      <c r="R32" s="147">
        <f t="shared" si="0"/>
        <v>0</v>
      </c>
      <c r="S32" s="347"/>
      <c r="T32" s="353"/>
      <c r="U32" s="353"/>
      <c r="V32" s="353"/>
      <c r="W32" s="353"/>
    </row>
    <row r="33" spans="1:23" ht="18.75" customHeight="1">
      <c r="A33" s="386"/>
      <c r="B33" s="163" t="s">
        <v>42</v>
      </c>
      <c r="C33" s="164"/>
      <c r="D33" s="235">
        <v>150</v>
      </c>
      <c r="E33" s="236">
        <v>300</v>
      </c>
      <c r="F33" s="228">
        <v>300</v>
      </c>
      <c r="G33" s="140">
        <f t="shared" si="2"/>
        <v>0</v>
      </c>
      <c r="H33" s="389"/>
      <c r="I33" s="363"/>
      <c r="J33" s="165">
        <v>300</v>
      </c>
      <c r="K33" s="141">
        <v>300</v>
      </c>
      <c r="L33" s="146">
        <f t="shared" si="1"/>
        <v>0</v>
      </c>
      <c r="M33" s="347"/>
      <c r="N33" s="363"/>
      <c r="O33" s="353"/>
      <c r="P33" s="353"/>
      <c r="Q33" s="353"/>
      <c r="R33" s="147">
        <f t="shared" si="0"/>
        <v>0</v>
      </c>
      <c r="S33" s="347"/>
      <c r="T33" s="353"/>
      <c r="U33" s="353"/>
      <c r="V33" s="353"/>
      <c r="W33" s="353"/>
    </row>
    <row r="34" spans="1:23">
      <c r="A34" s="386"/>
      <c r="B34" s="163" t="s">
        <v>43</v>
      </c>
      <c r="C34" s="164"/>
      <c r="D34" s="235">
        <v>30</v>
      </c>
      <c r="E34" s="236">
        <v>75</v>
      </c>
      <c r="F34" s="228">
        <v>33</v>
      </c>
      <c r="G34" s="140">
        <f t="shared" si="2"/>
        <v>0</v>
      </c>
      <c r="H34" s="389"/>
      <c r="I34" s="363"/>
      <c r="J34" s="165">
        <v>79</v>
      </c>
      <c r="K34" s="141">
        <v>37.182000000000002</v>
      </c>
      <c r="L34" s="146">
        <f t="shared" si="1"/>
        <v>0</v>
      </c>
      <c r="M34" s="347"/>
      <c r="N34" s="363"/>
      <c r="O34" s="353"/>
      <c r="P34" s="353"/>
      <c r="Q34" s="353"/>
      <c r="R34" s="147">
        <f t="shared" si="0"/>
        <v>1</v>
      </c>
      <c r="S34" s="347"/>
      <c r="T34" s="353"/>
      <c r="U34" s="353"/>
      <c r="V34" s="353"/>
      <c r="W34" s="353"/>
    </row>
    <row r="35" spans="1:23">
      <c r="A35" s="386"/>
      <c r="B35" s="160" t="s">
        <v>17</v>
      </c>
      <c r="C35" s="161" t="s">
        <v>23</v>
      </c>
      <c r="D35" s="238">
        <v>1000</v>
      </c>
      <c r="E35" s="239">
        <v>5000</v>
      </c>
      <c r="F35" s="166">
        <v>3000</v>
      </c>
      <c r="G35" s="140">
        <f t="shared" si="2"/>
        <v>0</v>
      </c>
      <c r="H35" s="389"/>
      <c r="I35" s="363"/>
      <c r="J35" s="166">
        <v>3000</v>
      </c>
      <c r="K35" s="141">
        <v>3000</v>
      </c>
      <c r="L35" s="146">
        <f t="shared" si="1"/>
        <v>0</v>
      </c>
      <c r="M35" s="347"/>
      <c r="N35" s="363"/>
      <c r="O35" s="353"/>
      <c r="P35" s="353"/>
      <c r="Q35" s="353"/>
      <c r="R35" s="147">
        <f t="shared" si="0"/>
        <v>0</v>
      </c>
      <c r="S35" s="347"/>
      <c r="T35" s="353"/>
      <c r="U35" s="353"/>
      <c r="V35" s="353"/>
      <c r="W35" s="353"/>
    </row>
    <row r="36" spans="1:23" ht="19.5" customHeight="1" thickBot="1">
      <c r="A36" s="387"/>
      <c r="B36" s="167" t="s">
        <v>16</v>
      </c>
      <c r="C36" s="168" t="s">
        <v>23</v>
      </c>
      <c r="D36" s="249">
        <v>200</v>
      </c>
      <c r="E36" s="250">
        <v>3000</v>
      </c>
      <c r="F36" s="224">
        <v>250</v>
      </c>
      <c r="G36" s="169">
        <f t="shared" si="2"/>
        <v>0</v>
      </c>
      <c r="H36" s="390"/>
      <c r="I36" s="364"/>
      <c r="J36" s="154">
        <v>250</v>
      </c>
      <c r="K36" s="154">
        <v>250</v>
      </c>
      <c r="L36" s="155">
        <f t="shared" si="1"/>
        <v>0</v>
      </c>
      <c r="M36" s="348"/>
      <c r="N36" s="364"/>
      <c r="O36" s="354"/>
      <c r="P36" s="354"/>
      <c r="Q36" s="354"/>
      <c r="R36" s="156">
        <f t="shared" si="0"/>
        <v>0</v>
      </c>
      <c r="S36" s="348"/>
      <c r="T36" s="354"/>
      <c r="U36" s="354"/>
      <c r="V36" s="354"/>
      <c r="W36" s="354"/>
    </row>
    <row r="37" spans="1:23" ht="18.75" customHeight="1">
      <c r="A37" s="394" t="s">
        <v>269</v>
      </c>
      <c r="B37" s="394"/>
      <c r="C37" s="394" t="s">
        <v>268</v>
      </c>
      <c r="D37" s="34">
        <v>0</v>
      </c>
      <c r="E37" s="111">
        <v>55</v>
      </c>
      <c r="F37" s="178">
        <v>20</v>
      </c>
      <c r="G37" s="185">
        <f t="shared" si="2"/>
        <v>0</v>
      </c>
      <c r="H37" s="376">
        <f>AVERAGE(G37:G38)</f>
        <v>0</v>
      </c>
      <c r="I37" s="349" t="str">
        <f>IF(H37&lt;=0.5,"Faible",IF(H37&lt;=1,"Moyenne","Forte"))</f>
        <v>Faible</v>
      </c>
      <c r="J37" s="178">
        <v>22</v>
      </c>
      <c r="K37" s="141">
        <v>20.181999999999999</v>
      </c>
      <c r="L37" s="221">
        <f t="shared" si="1"/>
        <v>0</v>
      </c>
      <c r="M37" s="346">
        <f>AVERAGE(L37:L38)</f>
        <v>0</v>
      </c>
      <c r="N37" s="349" t="str">
        <f>IF(M37&lt;=0.5,"Faible",IF(M37&lt;=1,"Moyenne","Forte"))</f>
        <v>Faible</v>
      </c>
      <c r="O37" s="352" t="str">
        <f>IF(AND(N37="FORTE",I37="FORTE"),"FORTE",
 IF(AND(N37="FORTE",I37="MOYENNE"),"FORTE",
 IF(AND(N37="FORTE",I37="FAIBLE"),"MOYENNE",
 IF(AND(N37="MOYENNE",I37="FORTE"),"FORTE",
 IF(AND(N37="MOYENNE",I37="MOYENNE"),"MOYENNE",
 IF(AND(N37="MOYENNE",I37="FAIBLE"),"FAIBLE",
 IF(AND(N37="FAIBLE",I37="FORTE"),"MOYENNE",
 IF(AND(N37="FAIBLE",I37="MOYENNE"),"FAIBLE",
 IF(AND(N37="FAIBLE",I37="FAIBLE"),"FAIBLE","Erreur")))))))))</f>
        <v>FAIBLE</v>
      </c>
      <c r="P37" s="352" t="s">
        <v>59</v>
      </c>
      <c r="Q37" s="352">
        <f>IF(P37="Ponctuelle",0,
IF(P37="Locale",0.5,
IF(P37="Régionale",1.25,
IF(P37="Nationale",2,
""))))</f>
        <v>2</v>
      </c>
      <c r="R37" s="179">
        <f t="shared" si="0"/>
        <v>0</v>
      </c>
      <c r="S37" s="346">
        <f>AVERAGE(R37:R38)</f>
        <v>0</v>
      </c>
      <c r="T37" s="352" t="str">
        <f>IF(S37&lt;=1,"FAIBLE",IF(S37=2,"MOYENNE","FORTE"))</f>
        <v>FAIBLE</v>
      </c>
      <c r="U37" s="352" t="str">
        <f>IF(O37="ABSOLUE","Inadmissible",
IF(O37="Forte",
    IF(T37="Forte",
        IF(OR(P37="Nationale",P37="Régionale",P37="Locale"),"Majeure","Moyenne"),
    IF(T37="Moyenne",
        IF(OR(P37="Nationale",P37="Régionale"),"Majeure","Moyenne"),
    IF(T37="Faible",
        IF(OR(P37="Nationale",P37="Régionale"),"Majeure","Mineure"),
    ""))),
IF(O37="Moyenne",
    IF(T37="Forte",
        IF(P37="Nationale","Majeure",
        IF(P37="Régionale","Moyenne","Moyenne")),
    IF(T37="Moyenne","Moyenne",
    IF(T37="Faible",
        IF(OR(P37="Nationale",P37="Régionale"),"Moyenne","Mineure"),
    ""))),
IF(O37="Faible",
    IF(T37="Forte",
        IF(OR(P37="Nationale",P37="Régionale"),"Moyenne","Mineure"),
    IF(T37="Moyenne","Mineure",
    "Mineure")),
IF(O37="Très Faible",
    IF(T37="Forte","Mineure",
    "Mineure à nulle"))))))</f>
        <v>Mineure</v>
      </c>
      <c r="V37" s="352" t="s">
        <v>220</v>
      </c>
      <c r="W37" s="352" t="str">
        <f>IF(OR(U37="Mineure",U37="Mineure à nulle"),"Mineure",
 IF(U37="Moyenne",
    IF(V37="Courte","Mineure","Moyenne"),
 IF(U37="Majeure",
    IF(V37="Courte","Moyenne","Majeure"),
 "")))</f>
        <v>Mineure</v>
      </c>
    </row>
    <row r="38" spans="1:23" ht="18.5" thickBot="1">
      <c r="A38" s="395"/>
      <c r="B38" s="395"/>
      <c r="C38" s="395"/>
      <c r="D38" s="262">
        <v>0</v>
      </c>
      <c r="E38" s="263">
        <v>65</v>
      </c>
      <c r="F38" s="264">
        <v>20</v>
      </c>
      <c r="G38" s="265">
        <f t="shared" si="2"/>
        <v>0</v>
      </c>
      <c r="H38" s="378"/>
      <c r="I38" s="351"/>
      <c r="J38" s="264">
        <v>29</v>
      </c>
      <c r="K38" s="169">
        <v>20.818000000000001</v>
      </c>
      <c r="L38" s="155">
        <f t="shared" si="1"/>
        <v>0</v>
      </c>
      <c r="M38" s="348"/>
      <c r="N38" s="351"/>
      <c r="O38" s="354"/>
      <c r="P38" s="354"/>
      <c r="Q38" s="354"/>
      <c r="R38" s="156">
        <f t="shared" si="0"/>
        <v>0</v>
      </c>
      <c r="S38" s="348"/>
      <c r="T38" s="354"/>
      <c r="U38" s="354"/>
      <c r="V38" s="354"/>
      <c r="W38" s="354"/>
    </row>
    <row r="39" spans="1:23" ht="18.5" thickBot="1">
      <c r="A39" s="247" t="s">
        <v>270</v>
      </c>
      <c r="B39" s="247" t="s">
        <v>271</v>
      </c>
      <c r="C39" s="247"/>
      <c r="D39" s="252" t="s">
        <v>272</v>
      </c>
      <c r="E39" s="247" t="s">
        <v>273</v>
      </c>
      <c r="F39" s="253" t="s">
        <v>276</v>
      </c>
      <c r="G39" s="185">
        <f>IF(F39=D39,0,IF(F39=E39,2))</f>
        <v>0</v>
      </c>
      <c r="H39" s="246">
        <f>G39</f>
        <v>0</v>
      </c>
      <c r="I39" s="187" t="str">
        <f>IF(H39&lt;=0.5,"Faible",IF(H39&lt;=1,"Moyenne","Forte"))</f>
        <v>Faible</v>
      </c>
      <c r="J39" s="257"/>
      <c r="K39" s="268">
        <v>0</v>
      </c>
      <c r="L39" s="269"/>
      <c r="M39" s="254"/>
      <c r="N39" s="255"/>
      <c r="O39" s="256"/>
      <c r="P39" s="256"/>
      <c r="Q39" s="256"/>
      <c r="R39" s="270"/>
      <c r="S39" s="254"/>
      <c r="T39" s="256"/>
      <c r="U39" s="256"/>
      <c r="V39" s="256"/>
      <c r="W39" s="208" t="str">
        <f>IF(G39=0, "Impact positif", "Mineure")</f>
        <v>Impact positif</v>
      </c>
    </row>
    <row r="40" spans="1:23" ht="18.75" customHeight="1">
      <c r="A40" s="391" t="s">
        <v>35</v>
      </c>
      <c r="B40" s="170" t="s">
        <v>24</v>
      </c>
      <c r="C40" s="171" t="s">
        <v>25</v>
      </c>
      <c r="D40" s="251">
        <v>0</v>
      </c>
      <c r="E40" s="251">
        <v>0.23</v>
      </c>
      <c r="F40" s="229">
        <v>0</v>
      </c>
      <c r="G40" s="172">
        <f t="shared" ref="G40:G56" si="3">IF(AND(F40&gt;=D40,F40&lt;=E40),0,IF(AND(F40&gt;=D40*0.8,F40&lt;=E40*1.2),1,2))</f>
        <v>0</v>
      </c>
      <c r="H40" s="376">
        <f>AVERAGE(G40:G46)</f>
        <v>0</v>
      </c>
      <c r="I40" s="352" t="str">
        <f>IF(H40&lt;=0.5,"Faible",IF(H40&lt;=1,"Moyenne","Forte"))</f>
        <v>Faible</v>
      </c>
      <c r="J40" s="172">
        <v>1</v>
      </c>
      <c r="K40" s="141">
        <v>9.0999999999999998E-2</v>
      </c>
      <c r="L40" s="221">
        <f t="shared" ref="L40:L56" si="4">IF(AND(K40&gt;=D40,K40&lt;=E40),0,IF(AND(K40&gt;=D40*0.8,K40&lt;=E40*1.2),1,2))</f>
        <v>0</v>
      </c>
      <c r="M40" s="346">
        <f>AVERAGE(L40:L46)</f>
        <v>0.2857142857142857</v>
      </c>
      <c r="N40" s="352" t="str">
        <f>IF(M40&lt;=0.5,"Faible",IF(M40&lt;=1,"Moyenne","Forte"))</f>
        <v>Faible</v>
      </c>
      <c r="O40" s="352" t="str">
        <f>IF(AND(N40="FORTE",I40="FORTE"),"FORTE",
 IF(AND(N40="FORTE",I40="MOYENNE"),"FORTE",
 IF(AND(N40="FORTE",I40="FAIBLE"),"MOYENNE",
 IF(AND(N40="MOYENNE",I40="FORTE"),"FORTE",
 IF(AND(N40="MOYENNE",I40="MOYENNE"),"MOYENNE",
 IF(AND(N40="MOYENNE",I40="FAIBLE"),"FAIBLE",
 IF(AND(N40="FAIBLE",I40="FORTE"),"MOYENNE",
 IF(AND(N40="FAIBLE",I40="MOYENNE"),"FAIBLE",
 IF(AND(N40="FAIBLE",I40="FAIBLE"),"FAIBLE","Erreur")))))))))</f>
        <v>FAIBLE</v>
      </c>
      <c r="P40" s="352" t="s">
        <v>57</v>
      </c>
      <c r="Q40" s="352">
        <f>IF(P40="Ponctuelle",0,
IF(P40="Locale",0.5,
IF(P40="Régionale",1.25,
IF(P40="Nationale",2,
""))))</f>
        <v>0.5</v>
      </c>
      <c r="R40" s="173">
        <f t="shared" ref="R40:R57" si="5">IF(AND(J40&gt;=D40,J40&lt;=E40),0,IF(AND(J40&gt;=D40*0.8,J40&lt;=E40*1.2),1,2))</f>
        <v>2</v>
      </c>
      <c r="S40" s="346">
        <f>AVERAGE(R40:R46)</f>
        <v>1.5714285714285714</v>
      </c>
      <c r="T40" s="381" t="str">
        <f>IF(S40&lt;=1,"FAIBLE",IF(S40=2,"MOYENNE","FORTE"))</f>
        <v>FORTE</v>
      </c>
      <c r="U40" s="352" t="str">
        <f>IF(O40="ABSOLUE","Inadmissible",
IF(O40="Forte",
    IF(T40="Forte",
        IF(OR(P40="Nationale",P40="Régionale",P40="Locale"),"Majeure","Moyenne"),
    IF(T40="Moyenne",
        IF(OR(P40="Nationale",P40="Régionale"),"Majeure","Moyenne"),
    IF(T40="Faible",
        IF(OR(P40="Nationale",P40="Régionale"),"Majeure","Mineure"),
    ""))),
IF(O40="Moyenne",
    IF(T40="Forte",
        IF(P40="Nationale","Majeure",
        IF(P40="Régionale","Moyenne","Moyenne")),
    IF(T40="Moyenne","Moyenne",
    IF(T40="Faible",
        IF(OR(P40="Nationale",P40="Régionale"),"Moyenne","Mineure"),
    ""))),
IF(O40="Faible",
    IF(T40="Forte",
        IF(OR(P40="Nationale",P40="Régionale"),"Moyenne","Mineure"),
    IF(T40="Moyenne","Mineure",
    "Mineure")),
IF(O40="Très Faible",
    IF(T40="Forte","Mineure",
    "Mineure à nulle"))))))</f>
        <v>Mineure</v>
      </c>
      <c r="V40" s="352" t="s">
        <v>240</v>
      </c>
      <c r="W40" s="352" t="str">
        <f>IF(OR(U40="Mineure",U40="Mineure à nulle"),"Mineure",
 IF(U40="Moyenne",
    IF(V40="Courte","Mineure","Moyenne"),
 IF(U40="Majeure",
    IF(V40="Courte","Moyenne","Majeure"),
 "")))</f>
        <v>Mineure</v>
      </c>
    </row>
    <row r="41" spans="1:23">
      <c r="A41" s="392"/>
      <c r="B41" s="174" t="s">
        <v>26</v>
      </c>
      <c r="C41" s="175" t="s">
        <v>27</v>
      </c>
      <c r="D41" s="174">
        <v>0</v>
      </c>
      <c r="E41" s="174">
        <v>50</v>
      </c>
      <c r="F41" s="151">
        <v>1</v>
      </c>
      <c r="G41" s="141">
        <f t="shared" si="3"/>
        <v>0</v>
      </c>
      <c r="H41" s="377"/>
      <c r="I41" s="353"/>
      <c r="J41" s="141">
        <v>70</v>
      </c>
      <c r="K41" s="141">
        <v>7.2729999999999997</v>
      </c>
      <c r="L41" s="146">
        <f t="shared" si="4"/>
        <v>0</v>
      </c>
      <c r="M41" s="347"/>
      <c r="N41" s="353"/>
      <c r="O41" s="353"/>
      <c r="P41" s="353" t="s">
        <v>59</v>
      </c>
      <c r="Q41" s="353"/>
      <c r="R41" s="147">
        <f t="shared" si="5"/>
        <v>2</v>
      </c>
      <c r="S41" s="347"/>
      <c r="T41" s="382"/>
      <c r="U41" s="353"/>
      <c r="V41" s="353"/>
      <c r="W41" s="353"/>
    </row>
    <row r="42" spans="1:23">
      <c r="A42" s="392"/>
      <c r="B42" s="174" t="s">
        <v>28</v>
      </c>
      <c r="C42" s="175" t="s">
        <v>27</v>
      </c>
      <c r="D42" s="174">
        <v>0</v>
      </c>
      <c r="E42" s="174">
        <v>25</v>
      </c>
      <c r="F42" s="151">
        <v>2</v>
      </c>
      <c r="G42" s="141">
        <f t="shared" si="3"/>
        <v>0</v>
      </c>
      <c r="H42" s="377"/>
      <c r="I42" s="353"/>
      <c r="J42" s="141">
        <v>30</v>
      </c>
      <c r="K42" s="141">
        <v>4.5449999999999999</v>
      </c>
      <c r="L42" s="146">
        <f t="shared" si="4"/>
        <v>0</v>
      </c>
      <c r="M42" s="347"/>
      <c r="N42" s="353"/>
      <c r="O42" s="353"/>
      <c r="P42" s="353" t="s">
        <v>59</v>
      </c>
      <c r="Q42" s="353"/>
      <c r="R42" s="147">
        <f t="shared" si="5"/>
        <v>1</v>
      </c>
      <c r="S42" s="347"/>
      <c r="T42" s="382"/>
      <c r="U42" s="353"/>
      <c r="V42" s="353"/>
      <c r="W42" s="353"/>
    </row>
    <row r="43" spans="1:23">
      <c r="A43" s="392"/>
      <c r="B43" s="174" t="s">
        <v>29</v>
      </c>
      <c r="C43" s="175" t="s">
        <v>27</v>
      </c>
      <c r="D43" s="174">
        <v>0</v>
      </c>
      <c r="E43" s="174">
        <v>120</v>
      </c>
      <c r="F43" s="151">
        <v>20</v>
      </c>
      <c r="G43" s="141">
        <f t="shared" si="3"/>
        <v>0</v>
      </c>
      <c r="H43" s="377"/>
      <c r="I43" s="353"/>
      <c r="J43" s="141">
        <v>222</v>
      </c>
      <c r="K43" s="141">
        <v>38.363999999999997</v>
      </c>
      <c r="L43" s="146">
        <f t="shared" si="4"/>
        <v>0</v>
      </c>
      <c r="M43" s="347"/>
      <c r="N43" s="353"/>
      <c r="O43" s="353"/>
      <c r="P43" s="353" t="s">
        <v>59</v>
      </c>
      <c r="Q43" s="353"/>
      <c r="R43" s="147">
        <f t="shared" si="5"/>
        <v>2</v>
      </c>
      <c r="S43" s="347"/>
      <c r="T43" s="382"/>
      <c r="U43" s="353"/>
      <c r="V43" s="353"/>
      <c r="W43" s="353"/>
    </row>
    <row r="44" spans="1:23">
      <c r="A44" s="392"/>
      <c r="B44" s="174" t="s">
        <v>30</v>
      </c>
      <c r="C44" s="175" t="s">
        <v>27</v>
      </c>
      <c r="D44" s="174">
        <v>0</v>
      </c>
      <c r="E44" s="174">
        <v>200</v>
      </c>
      <c r="F44" s="151">
        <v>180</v>
      </c>
      <c r="G44" s="141">
        <f t="shared" si="3"/>
        <v>0</v>
      </c>
      <c r="H44" s="377"/>
      <c r="I44" s="353"/>
      <c r="J44" s="141">
        <v>30</v>
      </c>
      <c r="K44" s="141">
        <v>166.364</v>
      </c>
      <c r="L44" s="146">
        <f t="shared" si="4"/>
        <v>0</v>
      </c>
      <c r="M44" s="347"/>
      <c r="N44" s="353"/>
      <c r="O44" s="353"/>
      <c r="P44" s="353" t="s">
        <v>59</v>
      </c>
      <c r="Q44" s="353"/>
      <c r="R44" s="147">
        <f t="shared" si="5"/>
        <v>0</v>
      </c>
      <c r="S44" s="347"/>
      <c r="T44" s="382"/>
      <c r="U44" s="353"/>
      <c r="V44" s="353"/>
      <c r="W44" s="353"/>
    </row>
    <row r="45" spans="1:23">
      <c r="A45" s="392"/>
      <c r="B45" s="174" t="s">
        <v>31</v>
      </c>
      <c r="C45" s="175" t="s">
        <v>27</v>
      </c>
      <c r="D45" s="174">
        <v>0</v>
      </c>
      <c r="E45" s="174">
        <v>10000</v>
      </c>
      <c r="F45" s="151">
        <v>1000</v>
      </c>
      <c r="G45" s="141">
        <f t="shared" si="3"/>
        <v>0</v>
      </c>
      <c r="H45" s="377"/>
      <c r="I45" s="353"/>
      <c r="J45" s="141">
        <v>20000</v>
      </c>
      <c r="K45" s="141">
        <v>2727.2730000000001</v>
      </c>
      <c r="L45" s="146">
        <f t="shared" si="4"/>
        <v>0</v>
      </c>
      <c r="M45" s="347"/>
      <c r="N45" s="353"/>
      <c r="O45" s="353"/>
      <c r="P45" s="353" t="s">
        <v>59</v>
      </c>
      <c r="Q45" s="353"/>
      <c r="R45" s="147">
        <f t="shared" si="5"/>
        <v>2</v>
      </c>
      <c r="S45" s="347"/>
      <c r="T45" s="382"/>
      <c r="U45" s="353"/>
      <c r="V45" s="353"/>
      <c r="W45" s="353"/>
    </row>
    <row r="46" spans="1:23" ht="18.5" thickBot="1">
      <c r="A46" s="393"/>
      <c r="B46" s="260" t="s">
        <v>32</v>
      </c>
      <c r="C46" s="261" t="s">
        <v>27</v>
      </c>
      <c r="D46" s="260">
        <v>0</v>
      </c>
      <c r="E46" s="260">
        <v>120</v>
      </c>
      <c r="F46" s="224">
        <v>20</v>
      </c>
      <c r="G46" s="169">
        <f t="shared" si="3"/>
        <v>0</v>
      </c>
      <c r="H46" s="378"/>
      <c r="I46" s="354"/>
      <c r="J46" s="169">
        <v>10001</v>
      </c>
      <c r="K46" s="154">
        <v>927.36400000000003</v>
      </c>
      <c r="L46" s="155">
        <f t="shared" si="4"/>
        <v>2</v>
      </c>
      <c r="M46" s="348"/>
      <c r="N46" s="354"/>
      <c r="O46" s="354"/>
      <c r="P46" s="354" t="s">
        <v>59</v>
      </c>
      <c r="Q46" s="354"/>
      <c r="R46" s="156">
        <f t="shared" si="5"/>
        <v>2</v>
      </c>
      <c r="S46" s="348"/>
      <c r="T46" s="383"/>
      <c r="U46" s="354"/>
      <c r="V46" s="354"/>
      <c r="W46" s="354"/>
    </row>
    <row r="47" spans="1:23" ht="18.75" customHeight="1">
      <c r="A47" s="379" t="s">
        <v>242</v>
      </c>
      <c r="B47" s="380" t="s">
        <v>254</v>
      </c>
      <c r="C47" s="124" t="s">
        <v>147</v>
      </c>
      <c r="D47" s="230">
        <v>0</v>
      </c>
      <c r="E47" s="231">
        <v>5</v>
      </c>
      <c r="F47" s="248">
        <v>5.0999999999999996</v>
      </c>
      <c r="G47" s="185">
        <f t="shared" si="3"/>
        <v>1</v>
      </c>
      <c r="H47" s="376">
        <f>AVERAGE(G47:G53)</f>
        <v>0.14285714285714285</v>
      </c>
      <c r="I47" s="349" t="str">
        <f>IF(H47&lt;=0.5,"Faible",IF(H47&lt;=1,"Moyenne","Forte"))</f>
        <v>Faible</v>
      </c>
      <c r="J47" s="248">
        <v>3</v>
      </c>
      <c r="K47" s="141">
        <v>4.9089999999999998</v>
      </c>
      <c r="L47" s="146">
        <f t="shared" si="4"/>
        <v>0</v>
      </c>
      <c r="M47" s="346">
        <f>AVERAGE(L47:L53)</f>
        <v>0</v>
      </c>
      <c r="N47" s="349" t="str">
        <f>IF(M47&lt;=0.5,"Faible",IF(M47&lt;=1,"Moyenne","Forte"))</f>
        <v>Faible</v>
      </c>
      <c r="O47" s="352" t="str">
        <f>IF(AND(N47="FORTE",I47="FORTE"),"FORTE",
 IF(AND(N47="FORTE",I47="MOYENNE"),"FORTE",
 IF(AND(N47="FORTE",I47="FAIBLE"),"MOYENNE",
 IF(AND(N47="MOYENNE",I47="FORTE"),"FORTE",
 IF(AND(N47="MOYENNE",I47="MOYENNE"),"MOYENNE",
 IF(AND(N47="MOYENNE",I47="FAIBLE"),"FAIBLE",
 IF(AND(N47="FAIBLE",I47="FORTE"),"MOYENNE",
 IF(AND(N47="FAIBLE",I47="MOYENNE"),"FAIBLE",
 IF(AND(N47="FAIBLE",I47="FAIBLE"),"FAIBLE","Erreur")))))))))</f>
        <v>FAIBLE</v>
      </c>
      <c r="P47" s="352" t="s">
        <v>57</v>
      </c>
      <c r="Q47" s="352">
        <f>IF(P47="Ponctuelle",0,
IF(P47="Locale",0.5,
IF(P47="Régionale",1.25,
IF(P47="Nationale",2,
""))))</f>
        <v>0.5</v>
      </c>
      <c r="R47" s="173">
        <f t="shared" si="5"/>
        <v>0</v>
      </c>
      <c r="S47" s="346">
        <f>AVERAGE(R47:R53)</f>
        <v>0</v>
      </c>
      <c r="T47" s="381" t="str">
        <f>IF(S47&lt;=1,"FAIBLE",IF(S47=2,"MOYENNE","FORTE"))</f>
        <v>FAIBLE</v>
      </c>
      <c r="U47" s="352" t="str">
        <f>IF(O47="ABSOLUE","Inadmissible",
IF(O47="Forte",
    IF(T47="Forte",
        IF(OR(P47="Nationale",P47="Régionale",P47="Locale"),"Majeure","Moyenne"),
    IF(T47="Moyenne",
        IF(OR(P47="Nationale",P47="Régionale"),"Majeure","Moyenne"),
    IF(T47="Faible",
        IF(OR(P47="Nationale",P47="Régionale"),"Majeure","Mineure"),
    ""))),
IF(O47="Moyenne",
    IF(T47="Forte",
        IF(P47="Nationale","Majeure",
        IF(P47="Régionale","Moyenne","Moyenne")),
    IF(T47="Moyenne","Moyenne",
    IF(T47="Faible",
        IF(OR(P47="Nationale",P47="Régionale"),"Moyenne","Mineure"),
    ""))),
IF(O47="Faible",
    IF(T47="Forte",
        IF(OR(P47="Nationale",P47="Régionale"),"Moyenne","Mineure"),
    IF(T47="Moyenne","Mineure",
    "Mineure")),
IF(O47="Très Faible",
    IF(T47="Forte","Mineure",
    "Mineure à nulle"))))))</f>
        <v>Mineure</v>
      </c>
      <c r="V47" s="352" t="s">
        <v>240</v>
      </c>
      <c r="W47" s="352" t="str">
        <f>IF(OR(U47="Mineure",U47="Mineure à nulle"),"Mineure",
 IF(U47="Moyenne",
    IF(V47="Courte","Mineure","Moyenne"),
 IF(U47="Majeure",
    IF(V47="Courte","Moyenne","Majeure"),
 "")))</f>
        <v>Mineure</v>
      </c>
    </row>
    <row r="48" spans="1:23">
      <c r="A48" s="374"/>
      <c r="B48" s="372"/>
      <c r="C48" s="125" t="s">
        <v>148</v>
      </c>
      <c r="D48" s="33">
        <v>0</v>
      </c>
      <c r="E48" s="33">
        <v>200</v>
      </c>
      <c r="F48" s="180">
        <v>200</v>
      </c>
      <c r="G48" s="185">
        <f t="shared" si="3"/>
        <v>0</v>
      </c>
      <c r="H48" s="377"/>
      <c r="I48" s="350"/>
      <c r="J48" s="180">
        <v>200</v>
      </c>
      <c r="K48" s="141">
        <v>200</v>
      </c>
      <c r="L48" s="146">
        <f t="shared" si="4"/>
        <v>0</v>
      </c>
      <c r="M48" s="347"/>
      <c r="N48" s="350"/>
      <c r="O48" s="353"/>
      <c r="P48" s="353" t="s">
        <v>59</v>
      </c>
      <c r="Q48" s="353"/>
      <c r="R48" s="147">
        <f t="shared" si="5"/>
        <v>0</v>
      </c>
      <c r="S48" s="347"/>
      <c r="T48" s="382"/>
      <c r="U48" s="353"/>
      <c r="V48" s="353"/>
      <c r="W48" s="353"/>
    </row>
    <row r="49" spans="1:23" ht="18.75" customHeight="1">
      <c r="A49" s="374"/>
      <c r="B49" s="371" t="s">
        <v>255</v>
      </c>
      <c r="C49" s="126" t="s">
        <v>147</v>
      </c>
      <c r="D49" s="31">
        <v>0</v>
      </c>
      <c r="E49" s="32">
        <v>5</v>
      </c>
      <c r="F49" s="180">
        <v>5</v>
      </c>
      <c r="G49" s="185">
        <f t="shared" si="3"/>
        <v>0</v>
      </c>
      <c r="H49" s="377"/>
      <c r="I49" s="350"/>
      <c r="J49" s="180">
        <v>5</v>
      </c>
      <c r="K49" s="141">
        <v>5</v>
      </c>
      <c r="L49" s="146">
        <f t="shared" si="4"/>
        <v>0</v>
      </c>
      <c r="M49" s="347"/>
      <c r="N49" s="350"/>
      <c r="O49" s="353"/>
      <c r="P49" s="353" t="s">
        <v>59</v>
      </c>
      <c r="Q49" s="353"/>
      <c r="R49" s="147">
        <f t="shared" si="5"/>
        <v>0</v>
      </c>
      <c r="S49" s="347"/>
      <c r="T49" s="382"/>
      <c r="U49" s="353"/>
      <c r="V49" s="353"/>
      <c r="W49" s="353"/>
    </row>
    <row r="50" spans="1:23">
      <c r="A50" s="374"/>
      <c r="B50" s="372"/>
      <c r="C50" s="125" t="s">
        <v>148</v>
      </c>
      <c r="D50" s="33">
        <v>0</v>
      </c>
      <c r="E50" s="33">
        <v>200</v>
      </c>
      <c r="F50" s="180">
        <v>30</v>
      </c>
      <c r="G50" s="185">
        <f t="shared" si="3"/>
        <v>0</v>
      </c>
      <c r="H50" s="377"/>
      <c r="I50" s="350"/>
      <c r="J50" s="180">
        <v>100</v>
      </c>
      <c r="K50" s="141">
        <v>36.363999999999997</v>
      </c>
      <c r="L50" s="146">
        <f t="shared" si="4"/>
        <v>0</v>
      </c>
      <c r="M50" s="347"/>
      <c r="N50" s="350"/>
      <c r="O50" s="353"/>
      <c r="P50" s="353" t="s">
        <v>59</v>
      </c>
      <c r="Q50" s="353"/>
      <c r="R50" s="147">
        <f t="shared" si="5"/>
        <v>0</v>
      </c>
      <c r="S50" s="347"/>
      <c r="T50" s="382"/>
      <c r="U50" s="353"/>
      <c r="V50" s="353"/>
      <c r="W50" s="353"/>
    </row>
    <row r="51" spans="1:23" ht="18.75" customHeight="1">
      <c r="A51" s="374"/>
      <c r="B51" s="371" t="s">
        <v>256</v>
      </c>
      <c r="C51" s="127" t="s">
        <v>149</v>
      </c>
      <c r="D51" s="31">
        <v>0</v>
      </c>
      <c r="E51" s="32">
        <v>61</v>
      </c>
      <c r="F51" s="180">
        <v>20</v>
      </c>
      <c r="G51" s="185">
        <f t="shared" si="3"/>
        <v>0</v>
      </c>
      <c r="H51" s="377"/>
      <c r="I51" s="350"/>
      <c r="J51" s="180">
        <v>22</v>
      </c>
      <c r="K51" s="141">
        <v>20.181999999999999</v>
      </c>
      <c r="L51" s="146">
        <f t="shared" si="4"/>
        <v>0</v>
      </c>
      <c r="M51" s="347"/>
      <c r="N51" s="350"/>
      <c r="O51" s="353"/>
      <c r="P51" s="353" t="s">
        <v>59</v>
      </c>
      <c r="Q51" s="353"/>
      <c r="R51" s="147">
        <f t="shared" si="5"/>
        <v>0</v>
      </c>
      <c r="S51" s="347"/>
      <c r="T51" s="382"/>
      <c r="U51" s="353"/>
      <c r="V51" s="353"/>
      <c r="W51" s="353"/>
    </row>
    <row r="52" spans="1:23">
      <c r="A52" s="374"/>
      <c r="B52" s="372"/>
      <c r="C52" s="128" t="s">
        <v>150</v>
      </c>
      <c r="D52" s="33">
        <v>0</v>
      </c>
      <c r="E52" s="33">
        <v>10</v>
      </c>
      <c r="F52" s="180">
        <v>10</v>
      </c>
      <c r="G52" s="185">
        <f t="shared" si="3"/>
        <v>0</v>
      </c>
      <c r="H52" s="377"/>
      <c r="I52" s="350"/>
      <c r="J52" s="180">
        <v>3</v>
      </c>
      <c r="K52" s="141">
        <v>9.3640000000000008</v>
      </c>
      <c r="L52" s="146">
        <f t="shared" si="4"/>
        <v>0</v>
      </c>
      <c r="M52" s="347"/>
      <c r="N52" s="350"/>
      <c r="O52" s="353"/>
      <c r="P52" s="353" t="s">
        <v>59</v>
      </c>
      <c r="Q52" s="353"/>
      <c r="R52" s="147">
        <f t="shared" si="5"/>
        <v>0</v>
      </c>
      <c r="S52" s="347"/>
      <c r="T52" s="382"/>
      <c r="U52" s="353"/>
      <c r="V52" s="353"/>
      <c r="W52" s="353"/>
    </row>
    <row r="53" spans="1:23" ht="36" customHeight="1" thickBot="1">
      <c r="A53" s="375"/>
      <c r="B53" s="106" t="s">
        <v>265</v>
      </c>
      <c r="C53" s="129" t="s">
        <v>266</v>
      </c>
      <c r="D53" s="245">
        <v>0</v>
      </c>
      <c r="E53" s="240">
        <v>5</v>
      </c>
      <c r="F53" s="181">
        <v>0</v>
      </c>
      <c r="G53" s="190">
        <f t="shared" si="3"/>
        <v>0</v>
      </c>
      <c r="H53" s="378"/>
      <c r="I53" s="351"/>
      <c r="J53" s="181">
        <v>4</v>
      </c>
      <c r="K53" s="190">
        <v>0.36399999999999999</v>
      </c>
      <c r="L53" s="176">
        <f t="shared" si="4"/>
        <v>0</v>
      </c>
      <c r="M53" s="348"/>
      <c r="N53" s="351"/>
      <c r="O53" s="354"/>
      <c r="P53" s="354" t="s">
        <v>59</v>
      </c>
      <c r="Q53" s="354"/>
      <c r="R53" s="176">
        <f t="shared" si="5"/>
        <v>0</v>
      </c>
      <c r="S53" s="348"/>
      <c r="T53" s="383"/>
      <c r="U53" s="354"/>
      <c r="V53" s="354"/>
      <c r="W53" s="354"/>
    </row>
    <row r="54" spans="1:23" ht="37.5" customHeight="1">
      <c r="A54" s="373" t="s">
        <v>85</v>
      </c>
      <c r="B54" s="110" t="s">
        <v>146</v>
      </c>
      <c r="C54" s="197" t="s">
        <v>25</v>
      </c>
      <c r="D54" s="243">
        <v>0</v>
      </c>
      <c r="E54" s="244" t="s">
        <v>267</v>
      </c>
      <c r="F54" s="198">
        <v>0.15</v>
      </c>
      <c r="G54" s="199">
        <f t="shared" si="3"/>
        <v>0</v>
      </c>
      <c r="H54" s="376">
        <f>AVERAGE(G54:G56)</f>
        <v>0</v>
      </c>
      <c r="I54" s="349" t="str">
        <f>IF(H54&lt;=0.5,"Faible",IF(H54&lt;=1,"Moyenne","Forte"))</f>
        <v>Faible</v>
      </c>
      <c r="J54" s="198">
        <v>0.16</v>
      </c>
      <c r="K54" s="172">
        <v>0.151</v>
      </c>
      <c r="L54" s="200">
        <f t="shared" si="4"/>
        <v>0</v>
      </c>
      <c r="M54" s="346">
        <f>AVERAGE(L53:L56)</f>
        <v>0</v>
      </c>
      <c r="N54" s="349" t="str">
        <f>IF(M54&lt;=0.5,"Faible",IF(M54&lt;=1,"Moyenne","Forte"))</f>
        <v>Faible</v>
      </c>
      <c r="O54" s="352" t="str">
        <f>IF(AND(N54="FORTE",I54="FORTE"),"FORTE",
 IF(AND(N54="FORTE",I54="MOYENNE"),"FORTE",
 IF(AND(N54="FORTE",I54="FAIBLE"),"MOYENNE",
 IF(AND(N54="MOYENNE",I54="FORTE"),"FORTE",
 IF(AND(N54="MOYENNE",I54="MOYENNE"),"MOYENNE",
 IF(AND(N54="MOYENNE",I54="FAIBLE"),"FAIBLE",
 IF(AND(N54="FAIBLE",I54="FORTE"),"MOYENNE",
 IF(AND(N54="FAIBLE",I54="MOYENNE"),"FAIBLE",
 IF(AND(N54="FAIBLE",I54="FAIBLE"),"FAIBLE","Erreur")))))))))</f>
        <v>FAIBLE</v>
      </c>
      <c r="P54" s="352" t="s">
        <v>59</v>
      </c>
      <c r="Q54" s="352">
        <f>IF(P54="Ponctuelle",0,
IF(P54="Locale",0.5,
IF(P54="Régionale",1.25,
IF(P54="Nationale",2,
""))))</f>
        <v>2</v>
      </c>
      <c r="R54" s="179">
        <f t="shared" si="5"/>
        <v>0</v>
      </c>
      <c r="S54" s="346">
        <f>AVERAGE(R54:R56)</f>
        <v>0</v>
      </c>
      <c r="T54" s="352" t="str">
        <f>IF(S54&lt;=1,"FAIBLE",IF(S54=2,"MOYENNE","FORTE"))</f>
        <v>FAIBLE</v>
      </c>
      <c r="U54" s="352" t="str">
        <f>IF(O54="ABSOLUE","Inadmissible",
IF(O54="Forte",
    IF(T54="Forte",
        IF(OR(P54="Nationale",P54="Régionale",P54="Locale"),"Majeure","Moyenne"),
    IF(T54="Moyenne",
        IF(OR(P54="Nationale",P54="Régionale"),"Majeure","Moyenne"),
    IF(T54="Faible",
        IF(OR(P54="Nationale",P54="Régionale"),"Majeure","Mineure"),
    ""))),
IF(O54="Moyenne",
    IF(T54="Forte",
        IF(P54="Nationale","Majeure",
        IF(P54="Régionale","Moyenne","Moyenne")),
    IF(T54="Moyenne","Moyenne",
    IF(T54="Faible",
        IF(OR(P54="Nationale",P54="Régionale"),"Moyenne","Mineure"),
    ""))),
IF(O54="Faible",
    IF(T54="Forte",
        IF(OR(P54="Nationale",P54="Régionale"),"Moyenne","Mineure"),
    IF(T54="Moyenne","Mineure",
    "Mineure")),
IF(O54="Très Faible",
    IF(T54="Forte","Mineure",
    "Mineure à nulle"))))))</f>
        <v>Mineure</v>
      </c>
      <c r="V54" s="352" t="s">
        <v>221</v>
      </c>
      <c r="W54" s="352" t="str">
        <f>IF(OR(U54="Mineure",U54="Mineure à nulle"),"Mineure",
 IF(U54="Moyenne",
    IF(V54="Courte","Mineure","Moyenne"),
 IF(U54="Majeure",
    IF(V54="Courte","Moyenne","Majeure"),
 "")))</f>
        <v>Mineure</v>
      </c>
    </row>
    <row r="55" spans="1:23" ht="37.5" customHeight="1">
      <c r="A55" s="374"/>
      <c r="B55" s="106" t="s">
        <v>145</v>
      </c>
      <c r="C55" s="129" t="s">
        <v>151</v>
      </c>
      <c r="D55" s="241">
        <v>0</v>
      </c>
      <c r="E55" s="242">
        <v>2</v>
      </c>
      <c r="F55" s="181">
        <v>1</v>
      </c>
      <c r="G55" s="181">
        <f t="shared" si="3"/>
        <v>0</v>
      </c>
      <c r="H55" s="377"/>
      <c r="I55" s="350"/>
      <c r="J55" s="181">
        <v>1</v>
      </c>
      <c r="K55" s="177">
        <v>1</v>
      </c>
      <c r="L55" s="176">
        <f t="shared" si="4"/>
        <v>0</v>
      </c>
      <c r="M55" s="347"/>
      <c r="N55" s="350"/>
      <c r="O55" s="353"/>
      <c r="P55" s="353"/>
      <c r="Q55" s="353"/>
      <c r="R55" s="182">
        <f t="shared" si="5"/>
        <v>0</v>
      </c>
      <c r="S55" s="347"/>
      <c r="T55" s="353"/>
      <c r="U55" s="353"/>
      <c r="V55" s="353"/>
      <c r="W55" s="353"/>
    </row>
    <row r="56" spans="1:23" ht="18.5" thickBot="1">
      <c r="A56" s="375"/>
      <c r="B56" s="106" t="s">
        <v>226</v>
      </c>
      <c r="C56" s="129" t="s">
        <v>228</v>
      </c>
      <c r="D56" s="304">
        <v>0</v>
      </c>
      <c r="E56" s="305">
        <v>2</v>
      </c>
      <c r="F56" s="176">
        <v>0</v>
      </c>
      <c r="G56" s="176">
        <f t="shared" si="3"/>
        <v>0</v>
      </c>
      <c r="H56" s="377"/>
      <c r="I56" s="350"/>
      <c r="J56" s="176">
        <v>2</v>
      </c>
      <c r="K56" s="306">
        <v>0.182</v>
      </c>
      <c r="L56" s="176">
        <f t="shared" si="4"/>
        <v>0</v>
      </c>
      <c r="M56" s="347"/>
      <c r="N56" s="350"/>
      <c r="O56" s="353"/>
      <c r="P56" s="353"/>
      <c r="Q56" s="353"/>
      <c r="R56" s="176">
        <f t="shared" si="5"/>
        <v>0</v>
      </c>
      <c r="S56" s="347"/>
      <c r="T56" s="353"/>
      <c r="U56" s="353"/>
      <c r="V56" s="353"/>
      <c r="W56" s="353"/>
    </row>
    <row r="57" spans="1:23" ht="56.25" customHeight="1" thickBot="1">
      <c r="A57" s="188" t="s">
        <v>207</v>
      </c>
      <c r="B57" s="294" t="s">
        <v>207</v>
      </c>
      <c r="C57" s="295" t="s">
        <v>229</v>
      </c>
      <c r="D57" s="296">
        <v>0</v>
      </c>
      <c r="E57" s="297">
        <v>90</v>
      </c>
      <c r="F57" s="268"/>
      <c r="G57" s="268"/>
      <c r="H57" s="268"/>
      <c r="I57" s="268"/>
      <c r="J57" s="298">
        <v>89</v>
      </c>
      <c r="K57" s="268">
        <v>8.0909999999999993</v>
      </c>
      <c r="L57" s="307">
        <f>IF(AND(K57&gt;=D57,K57&lt;=E57),0,IF(AND(K57&gt;=D57*0.8,K57&lt;=E57*1.2),1,2))</f>
        <v>0</v>
      </c>
      <c r="M57" s="301">
        <f>L57</f>
        <v>0</v>
      </c>
      <c r="N57" s="302" t="str">
        <f>IF(M57&lt;=0.5,"Faible",IF(M57&lt;=1,"Moyenne","Forte"))</f>
        <v>Faible</v>
      </c>
      <c r="O57" s="300" t="str">
        <f>N57</f>
        <v>Faible</v>
      </c>
      <c r="P57" s="300" t="s">
        <v>59</v>
      </c>
      <c r="Q57" s="300">
        <f>IF(P57="Ponctuelle",0,
IF(P57="Locale",0.5,
IF(P57="Régionale",1.25,
IF(P57="Nationale",2,
""))))</f>
        <v>2</v>
      </c>
      <c r="R57" s="298">
        <f t="shared" si="5"/>
        <v>0</v>
      </c>
      <c r="S57" s="301">
        <f>R57</f>
        <v>0</v>
      </c>
      <c r="T57" s="300" t="str">
        <f>IF(S57&lt;=1,"FAIBLE",IF(S57=2,"MOYENNE","FORTE"))</f>
        <v>FAIBLE</v>
      </c>
      <c r="U57" s="300" t="str">
        <f>IF(O57="ABSOLUE","Inadmissible",
IF(O57="Forte",
    IF(T57="Forte",
        IF(OR(P57="Nationale",P57="Régionale",P57="Locale"),"Majeure","Moyenne"),
    IF(T57="Moyenne",
        IF(OR(P57="Nationale",P57="Régionale"),"Majeure","Moyenne"),
    IF(T57="Faible",
        IF(OR(P57="Nationale",P57="Régionale"),"Majeure","Mineure"),
    ""))),
IF(O57="Moyenne",
    IF(T57="Forte",
        IF(P57="Nationale","Majeure",
        IF(P57="Régionale","Moyenne","Moyenne")),
    IF(T57="Moyenne","Moyenne",
    IF(T57="Faible",
        IF(OR(P57="Nationale",P57="Régionale"),"Moyenne","Mineure"),
    ""))),
IF(O57="Faible",
    IF(T57="Forte",
        IF(OR(P57="Nationale",P57="Régionale"),"Moyenne","Mineure"),
    IF(T57="Moyenne","Mineure",
    "Mineure")),
IF(O57="Très Faible",
    IF(T57="Forte","Mineure",
    "Mineure à nulle"))))))</f>
        <v>Mineure</v>
      </c>
      <c r="V57" s="300" t="s">
        <v>220</v>
      </c>
      <c r="W57" s="196" t="str">
        <f>IF(OR(U57="Mineure",U57="Mineure à nulle"),"Mineure",
 IF(U57="Moyenne",
    IF(V57="Courte","Mineure","Moyenne"),
 IF(U57="Majeure",
    IF(V57="Courte","Moyenne","Majeure"),
 "")))</f>
        <v>Mineure</v>
      </c>
    </row>
    <row r="58" spans="1:23" ht="36.5" thickBot="1">
      <c r="A58" s="189" t="s">
        <v>225</v>
      </c>
      <c r="B58" s="201" t="s">
        <v>225</v>
      </c>
      <c r="C58" s="290" t="s">
        <v>227</v>
      </c>
      <c r="D58" s="291">
        <v>0</v>
      </c>
      <c r="E58" s="292">
        <v>5</v>
      </c>
      <c r="F58" s="194"/>
      <c r="G58" s="194"/>
      <c r="H58" s="194"/>
      <c r="I58" s="194"/>
      <c r="J58" s="169">
        <v>8</v>
      </c>
      <c r="K58" s="169">
        <v>0.72699999999999998</v>
      </c>
      <c r="L58" s="308">
        <f>IF(AND(K58&gt;=D58,K58&lt;=E58),0,IF(AND(K58&gt;=D58*0.8,K58&lt;=E58*1.2),1,2))</f>
        <v>0</v>
      </c>
      <c r="M58" s="191">
        <f>L58</f>
        <v>0</v>
      </c>
      <c r="N58" s="187" t="str">
        <f>IF(M58&lt;=0.5,"Faible",IF(M58&lt;=1,"Moyenne","Forte"))</f>
        <v>Faible</v>
      </c>
      <c r="O58" s="193" t="str">
        <f>N58</f>
        <v>Faible</v>
      </c>
      <c r="P58" s="193" t="s">
        <v>59</v>
      </c>
      <c r="Q58" s="193">
        <f>IF(P58="Ponctuelle",0,
IF(P58="Locale",0.5,
IF(P58="Régionale",1.25,
IF(P58="Nationale",2,
""))))</f>
        <v>2</v>
      </c>
      <c r="R58" s="169">
        <f>IF(J58&gt;=5, 0, IF(AND(J58&gt;=4, J58&lt;=4), 1, 2))</f>
        <v>0</v>
      </c>
      <c r="S58" s="191">
        <f>R58</f>
        <v>0</v>
      </c>
      <c r="T58" s="193" t="str">
        <f t="shared" ref="T58" si="6">IF(S58&lt;=1,"FAIBLE",IF(S58=2,"MOYENNE","FORTE"))</f>
        <v>FAIBLE</v>
      </c>
      <c r="U58" s="193" t="str">
        <f>IF(O58="ABSOLUE","Inadmissible",
IF(O58="Forte",
    IF(T58="Forte",
        IF(OR(P58="Nationale",P58="Régionale",P58="Locale"),"Majeure","Moyenne"),
    IF(T58="Moyenne",
        IF(OR(P58="Nationale",P58="Régionale"),"Majeure","Moyenne"),
    IF(T58="Faible",
        IF(OR(P58="Nationale",P58="Régionale"),"Majeure","Mineure"),
    ""))),
IF(O58="Moyenne",
    IF(T58="Forte",
        IF(P58="Nationale","Majeure",
        IF(P58="Régionale","Moyenne","Moyenne")),
    IF(T58="Moyenne","Moyenne",
    IF(T58="Faible",
        IF(OR(P58="Nationale",P58="Régionale"),"Moyenne","Mineure"),
    ""))),
IF(O58="Faible",
    IF(T58="Forte",
        IF(OR(P58="Nationale",P58="Régionale"),"Moyenne","Mineure"),
    IF(T58="Moyenne","Mineure",
    "Mineure")),
IF(O58="Très Faible",
    IF(T58="Forte","Mineure",
    "Mineure à nulle"))))))</f>
        <v>Mineure</v>
      </c>
      <c r="V58" s="193" t="s">
        <v>220</v>
      </c>
      <c r="W58" s="222" t="str">
        <f>IF(OR(L58=0, L58=1), "Impact positif", "Autre impact")</f>
        <v>Impact positif</v>
      </c>
    </row>
    <row r="61" spans="1:23" ht="31">
      <c r="D61" s="21"/>
      <c r="E61" s="209"/>
      <c r="F61" s="210"/>
      <c r="G61" s="345" t="s">
        <v>91</v>
      </c>
      <c r="H61" s="218" t="s">
        <v>116</v>
      </c>
      <c r="I61" s="345" t="s">
        <v>101</v>
      </c>
      <c r="J61" s="218" t="s">
        <v>47</v>
      </c>
      <c r="K61" s="540" t="s">
        <v>245</v>
      </c>
      <c r="L61" s="219" t="s">
        <v>47</v>
      </c>
      <c r="M61" s="219" t="s">
        <v>246</v>
      </c>
      <c r="N61" s="220" t="s">
        <v>222</v>
      </c>
    </row>
    <row r="62" spans="1:23" ht="70.5" customHeight="1">
      <c r="D62" s="355" t="s">
        <v>247</v>
      </c>
      <c r="E62" s="356"/>
      <c r="F62" s="211" t="s">
        <v>248</v>
      </c>
      <c r="G62" s="211" t="s">
        <v>108</v>
      </c>
      <c r="H62" s="211">
        <f>IF(G62="Aucune présence",0,IF(G62="Présence potentielle",1,IF(G62="Présence occasionnelle",2,IF(G62="Présence régulière",3,IF(G62="Présence permanente",4,"")))))</f>
        <v>1</v>
      </c>
      <c r="I62" s="211" t="s">
        <v>117</v>
      </c>
      <c r="J62" s="211">
        <f>IF(I62="Aucune protection",0,IF(I62="niveau local ou régional",1,IF(I62="niveau national (loi marocaine par ex.)",2,IF(I62="Espèce inscrite sur la Liste rouge UICN (Préoccupation mineure à vulnérable)",3,IF(I62="Espèce inscrite Liste rouge UICN (En danger / En danger critique)",4,"")))))</f>
        <v>1</v>
      </c>
      <c r="K62" s="211" t="s">
        <v>95</v>
      </c>
      <c r="L62" s="211">
        <f>IF(K62="Aucune espèce protégée",0,IF(K62="Espèce peu menacée ou rare",1,IF(K62="Espèce vulnérable",2,IF(K62="Espèce en danger / endémique",3,IF(K62="Espèce en danger critique",4,IF(K62="Espèce protégée + reproduction",5,""))))))</f>
        <v>1</v>
      </c>
      <c r="M62" s="211">
        <f>L62+J62+H62</f>
        <v>3</v>
      </c>
      <c r="N62" s="212" t="str">
        <f>IF(M62&lt;=6,"Mineure",IF(M62&lt;=12,"Moyenne",IF(M62&lt;=18,"Majeure","Très grave")))</f>
        <v>Mineure</v>
      </c>
    </row>
    <row r="63" spans="1:23" ht="54" customHeight="1">
      <c r="D63" s="357"/>
      <c r="E63" s="358"/>
      <c r="F63" s="211" t="s">
        <v>249</v>
      </c>
      <c r="G63" s="211" t="s">
        <v>106</v>
      </c>
      <c r="H63" s="211">
        <f t="shared" ref="H63:H66" si="7">IF(G63="Aucune présence",0,IF(G63="Présence potentielle",1,IF(G63="Présence occasionnelle",2,IF(G63="Présence régulière",3,IF(G63="Présence permanente",4,"")))))</f>
        <v>0</v>
      </c>
      <c r="I63" s="211" t="s">
        <v>102</v>
      </c>
      <c r="J63" s="211">
        <f>IF(I63="Aucune protection",0,IF(I63="niveau local ou régional",1,IF(I63="niveau national (loi marocaine par ex.)",2,IF(I63="Espèce inscrite sur la Liste rouge UICN (Préoccupation mineure à vulnérable)",3,IF(I63="Espèce inscrite Liste rouge UICN (En danger / En danger critique)",4,"")))))</f>
        <v>0</v>
      </c>
      <c r="K63" s="211" t="s">
        <v>94</v>
      </c>
      <c r="L63" s="211">
        <f>IF(K63="Aucune espèce protégée",0,IF(K63="Espèce peu menacée ou rare",1,IF(K63="Espèce vulnérable",2,IF(K63="Espèce en danger / endémique",3,IF(K63="Espèce en danger critique",4,IF(K63="Espèce protégée + reproduction",5,""))))))</f>
        <v>0</v>
      </c>
      <c r="M63" s="211">
        <f>L63+J63+H63</f>
        <v>0</v>
      </c>
      <c r="N63" s="212" t="str">
        <f>IF(M63&lt;=6,"Mineure",IF(M63&lt;=12,"Moyenne",IF(M63&lt;=18,"Majeure","Très grave")))</f>
        <v>Mineure</v>
      </c>
    </row>
    <row r="64" spans="1:23" ht="31">
      <c r="D64" s="365" t="s">
        <v>250</v>
      </c>
      <c r="E64" s="366"/>
      <c r="F64" s="213" t="s">
        <v>251</v>
      </c>
      <c r="G64" s="214" t="s">
        <v>106</v>
      </c>
      <c r="H64" s="214">
        <f t="shared" si="7"/>
        <v>0</v>
      </c>
      <c r="I64" s="214" t="s">
        <v>102</v>
      </c>
      <c r="J64" s="214">
        <f>IF(I64="Aucune protection",0,IF(I64="niveau local ou régional",1,IF(I64="niveau national (loi marocaine par ex.)",2,IF(I64="Espèce inscrite sur la Liste rouge UICN (Préoccupation mineure à vulnérable)",3,IF(I64="Espèce inscrite Liste rouge UICN (En danger / En danger critique)",4,"")))))</f>
        <v>0</v>
      </c>
      <c r="K64" s="214" t="s">
        <v>94</v>
      </c>
      <c r="L64" s="214">
        <f>IF(K64="Aucune espèce protégée",0,IF(K64="Espèce peu menacée ou rare",1,IF(K64="Espèce vulnérable",2,IF(K64="Espèce en danger / endémique",3,IF(K64="Espèce en danger critique",4,IF(K64="Espèce protégée + reproduction",5,""))))))</f>
        <v>0</v>
      </c>
      <c r="M64" s="215">
        <f>L64+J64+H64</f>
        <v>0</v>
      </c>
      <c r="N64" s="216" t="str">
        <f>IF(M64&lt;=6,"Faible",IF(M64&lt;=12,"Moyenne",IF(M64&lt;=18,"Grave","Très grave")))</f>
        <v>Faible</v>
      </c>
      <c r="O64" s="359">
        <f>AVERAGE(M64:M66)</f>
        <v>1.6666666666666667</v>
      </c>
      <c r="P64" s="359" t="str">
        <f>IF(O64&lt;=3,"Mineure",IF(O64&lt;=6,"Moyenne","Majeure"))</f>
        <v>Mineure</v>
      </c>
    </row>
    <row r="65" spans="4:16" ht="78.75" customHeight="1">
      <c r="D65" s="367"/>
      <c r="E65" s="368"/>
      <c r="F65" s="217" t="s">
        <v>252</v>
      </c>
      <c r="G65" s="214" t="s">
        <v>106</v>
      </c>
      <c r="H65" s="214">
        <f t="shared" si="7"/>
        <v>0</v>
      </c>
      <c r="I65" s="214" t="s">
        <v>117</v>
      </c>
      <c r="J65" s="214">
        <f>IF(I65="Aucune protection",0,IF(I65="niveau local ou régional",1,IF(I65="niveau national (loi marocaine par ex.)",2,IF(I65="Espèce inscrite sur la Liste rouge UICN (Préoccupation mineure à vulnérable)",3,IF(I65="Espèce inscrite Liste rouge UICN (En danger / En danger critique)",4,"")))))</f>
        <v>1</v>
      </c>
      <c r="K65" s="214" t="s">
        <v>94</v>
      </c>
      <c r="L65" s="214">
        <f>IF(K65="Aucune espèce protégée",0,IF(K65="Espèce peu menacée ou rare",1,IF(K65="Espèce vulnérable",2,IF(K65="Espèce en danger / endémique",3,IF(K65="Espèce en danger critique",4,IF(K65="Espèce protégée + reproduction",5,""))))))</f>
        <v>0</v>
      </c>
      <c r="M65" s="215">
        <f>L65+J65+H65</f>
        <v>1</v>
      </c>
      <c r="N65" s="216" t="str">
        <f t="shared" ref="N65:N66" si="8">IF(M65&lt;=6,"Faible",IF(M65&lt;=12,"Moyenne",IF(M65&lt;=18,"Grave","Très grave")))</f>
        <v>Faible</v>
      </c>
      <c r="O65" s="353"/>
      <c r="P65" s="353"/>
    </row>
    <row r="66" spans="4:16" ht="93">
      <c r="D66" s="369"/>
      <c r="E66" s="370"/>
      <c r="F66" s="214" t="s">
        <v>253</v>
      </c>
      <c r="G66" s="214" t="s">
        <v>106</v>
      </c>
      <c r="H66" s="214">
        <f t="shared" si="7"/>
        <v>0</v>
      </c>
      <c r="I66" s="214" t="s">
        <v>104</v>
      </c>
      <c r="J66" s="214">
        <f>IF(I66="Aucune protection",0,IF(I66="niveau local ou régional",1,IF(I66="niveau national (loi marocaine par ex.)",2,IF(I66="Espèce inscrite sur la Liste rouge UICN (Préoccupation mineure à vulnérable)",3,IF(I66="Espèce inscrite Liste rouge UICN (En danger / En danger critique)",4,"")))))</f>
        <v>4</v>
      </c>
      <c r="K66" s="214" t="s">
        <v>94</v>
      </c>
      <c r="L66" s="214">
        <f>IF(K66="Aucune espèce protégée",0,IF(K66="Espèce peu menacée ou rare",1,IF(K66="Espèce vulnérable",2,IF(K66="Espèce en danger / endémique",3,IF(K66="Espèce en danger critique",4,IF(K66="Espèce protégée + reproduction",5,""))))))</f>
        <v>0</v>
      </c>
      <c r="M66" s="215">
        <f>L66+J66+H66</f>
        <v>4</v>
      </c>
      <c r="N66" s="216" t="str">
        <f t="shared" si="8"/>
        <v>Faible</v>
      </c>
      <c r="O66" s="360"/>
      <c r="P66" s="360"/>
    </row>
  </sheetData>
  <mergeCells count="88">
    <mergeCell ref="W54:W56"/>
    <mergeCell ref="B47:B48"/>
    <mergeCell ref="B49:B50"/>
    <mergeCell ref="Q54:Q56"/>
    <mergeCell ref="S54:S56"/>
    <mergeCell ref="T54:T56"/>
    <mergeCell ref="U54:U56"/>
    <mergeCell ref="V54:V56"/>
    <mergeCell ref="I47:I53"/>
    <mergeCell ref="T47:T53"/>
    <mergeCell ref="U47:U53"/>
    <mergeCell ref="V47:V53"/>
    <mergeCell ref="W47:W53"/>
    <mergeCell ref="O47:O53"/>
    <mergeCell ref="M47:M53"/>
    <mergeCell ref="N47:N53"/>
    <mergeCell ref="O64:O66"/>
    <mergeCell ref="P64:P66"/>
    <mergeCell ref="A54:A56"/>
    <mergeCell ref="H54:H56"/>
    <mergeCell ref="I54:I56"/>
    <mergeCell ref="M54:M56"/>
    <mergeCell ref="N54:N56"/>
    <mergeCell ref="O54:O56"/>
    <mergeCell ref="P54:P56"/>
    <mergeCell ref="I40:I46"/>
    <mergeCell ref="M40:M46"/>
    <mergeCell ref="N40:N46"/>
    <mergeCell ref="D62:E63"/>
    <mergeCell ref="D64:E66"/>
    <mergeCell ref="T37:T38"/>
    <mergeCell ref="H37:H38"/>
    <mergeCell ref="I37:I38"/>
    <mergeCell ref="M37:M38"/>
    <mergeCell ref="N37:N38"/>
    <mergeCell ref="I23:I36"/>
    <mergeCell ref="M23:M36"/>
    <mergeCell ref="W37:W38"/>
    <mergeCell ref="O40:O46"/>
    <mergeCell ref="C37:C38"/>
    <mergeCell ref="N23:N36"/>
    <mergeCell ref="V40:V46"/>
    <mergeCell ref="W40:W46"/>
    <mergeCell ref="P40:P46"/>
    <mergeCell ref="Q40:Q46"/>
    <mergeCell ref="S40:S46"/>
    <mergeCell ref="T40:T46"/>
    <mergeCell ref="U40:U46"/>
    <mergeCell ref="O23:O36"/>
    <mergeCell ref="V37:V38"/>
    <mergeCell ref="U37:U38"/>
    <mergeCell ref="P23:P36"/>
    <mergeCell ref="Q23:Q36"/>
    <mergeCell ref="S23:S36"/>
    <mergeCell ref="T23:T36"/>
    <mergeCell ref="U23:U36"/>
    <mergeCell ref="W2:W22"/>
    <mergeCell ref="T2:T22"/>
    <mergeCell ref="U2:U22"/>
    <mergeCell ref="V2:V22"/>
    <mergeCell ref="V23:V36"/>
    <mergeCell ref="W23:W36"/>
    <mergeCell ref="R1:S1"/>
    <mergeCell ref="A2:A22"/>
    <mergeCell ref="H2:H22"/>
    <mergeCell ref="I2:I22"/>
    <mergeCell ref="M2:M22"/>
    <mergeCell ref="N2:N22"/>
    <mergeCell ref="O2:O22"/>
    <mergeCell ref="P2:P22"/>
    <mergeCell ref="Q2:Q22"/>
    <mergeCell ref="S2:S22"/>
    <mergeCell ref="A47:A53"/>
    <mergeCell ref="A23:A36"/>
    <mergeCell ref="A40:A46"/>
    <mergeCell ref="B51:B52"/>
    <mergeCell ref="G1:H1"/>
    <mergeCell ref="H40:H46"/>
    <mergeCell ref="H47:H53"/>
    <mergeCell ref="A37:B38"/>
    <mergeCell ref="H23:H36"/>
    <mergeCell ref="P47:P53"/>
    <mergeCell ref="Q47:Q53"/>
    <mergeCell ref="S47:S53"/>
    <mergeCell ref="O37:O38"/>
    <mergeCell ref="P37:P38"/>
    <mergeCell ref="Q37:Q38"/>
    <mergeCell ref="S37:S38"/>
  </mergeCells>
  <conditionalFormatting sqref="W57 W2 W40:W54 W23:W37">
    <cfRule type="expression" dxfId="16" priority="11">
      <formula>OR($W2="Majeure")</formula>
    </cfRule>
    <cfRule type="expression" dxfId="15" priority="12">
      <formula>OR($W2="Moyenne")</formula>
    </cfRule>
    <cfRule type="expression" dxfId="14" priority="13">
      <formula>OR($W2="Mineure")</formula>
    </cfRule>
  </conditionalFormatting>
  <conditionalFormatting sqref="W54 W57 W37">
    <cfRule type="expression" dxfId="13" priority="10">
      <formula>OR($W37="Mineure")</formula>
    </cfRule>
  </conditionalFormatting>
  <conditionalFormatting sqref="W58">
    <cfRule type="expression" dxfId="12" priority="9">
      <formula>OR($W58="Impact positif")</formula>
    </cfRule>
  </conditionalFormatting>
  <conditionalFormatting sqref="P64:P66">
    <cfRule type="expression" dxfId="11" priority="6">
      <formula>OR($P64="Majeure")</formula>
    </cfRule>
    <cfRule type="expression" dxfId="10" priority="7">
      <formula>OR($P64="Moyenne")</formula>
    </cfRule>
    <cfRule type="expression" dxfId="9" priority="8">
      <formula>OR($P64="Mineure")</formula>
    </cfRule>
  </conditionalFormatting>
  <conditionalFormatting sqref="N62:N63">
    <cfRule type="expression" dxfId="8" priority="3">
      <formula>OR($N62="Moyenne")</formula>
    </cfRule>
    <cfRule type="expression" dxfId="7" priority="4">
      <formula>OR($N62="Mineure")</formula>
    </cfRule>
    <cfRule type="expression" dxfId="6" priority="5">
      <formula>OR($N62="Majeure")</formula>
    </cfRule>
  </conditionalFormatting>
  <conditionalFormatting sqref="W39">
    <cfRule type="expression" dxfId="5" priority="1">
      <formula>OR($W39="Mineure")</formula>
    </cfRule>
    <cfRule type="expression" dxfId="4" priority="2">
      <formula>OR($W39="Impact positif")</formula>
    </cfRule>
  </conditionalFormatting>
  <dataValidations count="6">
    <dataValidation type="list" allowBlank="1" showInputMessage="1" showErrorMessage="1" sqref="V2" xr:uid="{00000000-0002-0000-0300-000000000000}">
      <formula1>"Courte,Moyenne,Longue"</formula1>
    </dataValidation>
    <dataValidation type="list" allowBlank="1" showInputMessage="1" showErrorMessage="1" sqref="V57:V58 V23:V37 V40:V54" xr:uid="{00000000-0002-0000-0300-000001000000}">
      <formula1>"courte,moyenne,longue"</formula1>
    </dataValidation>
    <dataValidation type="list" allowBlank="1" showInputMessage="1" showErrorMessage="1" sqref="P57:P58 P40:P54 P2 P23:P37" xr:uid="{00000000-0002-0000-0300-000002000000}">
      <formula1>"Ponctuelle,Locale,Régionale,Nationale"</formula1>
    </dataValidation>
    <dataValidation type="list" allowBlank="1" showInputMessage="1" showErrorMessage="1" sqref="K62:K66" xr:uid="{00000000-0002-0000-0300-000003000000}">
      <formula1>"Aucune espèce protégée, Espèce peu menacée ou rare, Espèce vulnérable, Espèce en danger / endémique, Espèce en danger critique, Espèce protégée + reproduction"</formula1>
    </dataValidation>
    <dataValidation type="list" allowBlank="1" showInputMessage="1" showErrorMessage="1" sqref="I62:I66" xr:uid="{00000000-0002-0000-0300-000004000000}">
      <formula1>"Aucune protection, niveau local ou régional, niveau national (loi marocaine par ex.), Espèce inscrite sur la Liste rouge UICN (Préoccupation mineure à vulnérable), Espèce inscrite Liste rouge UICN (En danger / En danger critique)"</formula1>
    </dataValidation>
    <dataValidation type="list" allowBlank="1" showInputMessage="1" showErrorMessage="1" sqref="G62:G66" xr:uid="{00000000-0002-0000-0300-000005000000}">
      <formula1>"Aucune présence, Présence potentielle, Présence occasionnelle, Présence régulière, Présence permanente"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CalculMilieux_Moyenne_Seule">
                <anchor moveWithCells="1" sizeWithCells="1">
                  <from>
                    <xdr:col>10</xdr:col>
                    <xdr:colOff>762000</xdr:colOff>
                    <xdr:row>0</xdr:row>
                    <xdr:rowOff>285750</xdr:rowOff>
                  </from>
                  <to>
                    <xdr:col>10</xdr:col>
                    <xdr:colOff>1270000</xdr:colOff>
                    <xdr:row>0</xdr:row>
                    <xdr:rowOff>603250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Y17"/>
  <sheetViews>
    <sheetView tabSelected="1" topLeftCell="A2" zoomScale="40" zoomScaleNormal="40" workbookViewId="0">
      <selection activeCell="AB11" sqref="AB11"/>
    </sheetView>
  </sheetViews>
  <sheetFormatPr defaultColWidth="10.81640625" defaultRowHeight="14.5"/>
  <cols>
    <col min="1" max="1" width="27.26953125" customWidth="1"/>
    <col min="2" max="2" width="21" customWidth="1"/>
    <col min="3" max="3" width="12.81640625" customWidth="1"/>
    <col min="4" max="4" width="11.54296875" customWidth="1"/>
    <col min="5" max="5" width="12" customWidth="1"/>
    <col min="6" max="6" width="11.26953125" customWidth="1"/>
    <col min="7" max="7" width="13.54296875" customWidth="1"/>
    <col min="8" max="8" width="11.7265625" customWidth="1"/>
    <col min="9" max="9" width="12" customWidth="1"/>
    <col min="10" max="10" width="13" customWidth="1"/>
    <col min="11" max="11" width="12" customWidth="1"/>
    <col min="12" max="12" width="11.54296875" customWidth="1"/>
    <col min="13" max="13" width="13.453125" customWidth="1"/>
    <col min="14" max="14" width="13" customWidth="1"/>
    <col min="15" max="15" width="12.81640625" customWidth="1"/>
    <col min="16" max="16" width="12" customWidth="1"/>
    <col min="17" max="17" width="11.7265625" customWidth="1"/>
    <col min="18" max="18" width="12" customWidth="1"/>
    <col min="19" max="19" width="11.453125" customWidth="1"/>
    <col min="20" max="20" width="13.54296875" customWidth="1"/>
    <col min="21" max="21" width="10.81640625" customWidth="1"/>
    <col min="22" max="22" width="13.7265625" customWidth="1"/>
    <col min="23" max="23" width="7.54296875" customWidth="1"/>
    <col min="24" max="24" width="7.7265625" customWidth="1"/>
    <col min="25" max="25" width="7.54296875" customWidth="1"/>
  </cols>
  <sheetData>
    <row r="1" spans="1:25" ht="29.25" customHeight="1" thickBot="1">
      <c r="A1" s="423"/>
      <c r="B1" s="424"/>
      <c r="C1" s="424"/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  <c r="S1" s="424"/>
      <c r="T1" s="424"/>
      <c r="U1" s="424"/>
      <c r="V1" s="425"/>
    </row>
    <row r="2" spans="1:25" ht="17.25" customHeight="1" thickBot="1">
      <c r="A2" s="432" t="s">
        <v>64</v>
      </c>
      <c r="B2" s="429" t="s">
        <v>65</v>
      </c>
      <c r="C2" s="426" t="s">
        <v>69</v>
      </c>
      <c r="D2" s="427"/>
      <c r="E2" s="427"/>
      <c r="F2" s="427"/>
      <c r="G2" s="427"/>
      <c r="H2" s="427"/>
      <c r="I2" s="427"/>
      <c r="J2" s="427"/>
      <c r="K2" s="427"/>
      <c r="L2" s="427"/>
      <c r="M2" s="427"/>
      <c r="N2" s="427"/>
      <c r="O2" s="427"/>
      <c r="P2" s="427"/>
      <c r="Q2" s="427"/>
      <c r="R2" s="427"/>
      <c r="S2" s="427"/>
      <c r="T2" s="427"/>
      <c r="U2" s="427"/>
      <c r="V2" s="427"/>
    </row>
    <row r="3" spans="1:25" ht="30.75" customHeight="1" thickBot="1">
      <c r="A3" s="433"/>
      <c r="B3" s="430"/>
      <c r="C3" s="428" t="s">
        <v>66</v>
      </c>
      <c r="D3" s="428"/>
      <c r="E3" s="428"/>
      <c r="F3" s="428"/>
      <c r="G3" s="428" t="s">
        <v>67</v>
      </c>
      <c r="H3" s="428"/>
      <c r="I3" s="428"/>
      <c r="J3" s="428"/>
      <c r="K3" s="428"/>
      <c r="L3" s="428"/>
      <c r="M3" s="428"/>
      <c r="N3" s="428" t="s">
        <v>68</v>
      </c>
      <c r="O3" s="428"/>
      <c r="P3" s="428"/>
      <c r="Q3" s="428"/>
      <c r="R3" s="428"/>
      <c r="S3" s="428" t="s">
        <v>78</v>
      </c>
      <c r="T3" s="428"/>
      <c r="U3" s="428"/>
      <c r="V3" s="428"/>
    </row>
    <row r="4" spans="1:25" ht="81" customHeight="1" thickBot="1">
      <c r="A4" s="434"/>
      <c r="B4" s="431"/>
      <c r="C4" s="10" t="s">
        <v>70</v>
      </c>
      <c r="D4" s="11" t="s">
        <v>158</v>
      </c>
      <c r="E4" s="11" t="s">
        <v>72</v>
      </c>
      <c r="F4" s="12" t="s">
        <v>159</v>
      </c>
      <c r="G4" s="10" t="s">
        <v>161</v>
      </c>
      <c r="H4" s="11" t="s">
        <v>73</v>
      </c>
      <c r="I4" s="11" t="s">
        <v>74</v>
      </c>
      <c r="J4" s="11" t="s">
        <v>75</v>
      </c>
      <c r="K4" s="11" t="s">
        <v>160</v>
      </c>
      <c r="L4" s="11" t="s">
        <v>76</v>
      </c>
      <c r="M4" s="12" t="s">
        <v>71</v>
      </c>
      <c r="N4" s="36" t="s">
        <v>162</v>
      </c>
      <c r="O4" s="11" t="s">
        <v>163</v>
      </c>
      <c r="P4" s="11" t="s">
        <v>164</v>
      </c>
      <c r="Q4" s="11" t="s">
        <v>165</v>
      </c>
      <c r="R4" s="12" t="s">
        <v>77</v>
      </c>
      <c r="S4" s="10" t="s">
        <v>166</v>
      </c>
      <c r="T4" s="11" t="s">
        <v>167</v>
      </c>
      <c r="U4" s="11" t="s">
        <v>168</v>
      </c>
      <c r="V4" s="12" t="s">
        <v>71</v>
      </c>
      <c r="W4" s="101" t="s">
        <v>212</v>
      </c>
      <c r="X4" s="101" t="s">
        <v>47</v>
      </c>
      <c r="Y4" s="101" t="s">
        <v>21</v>
      </c>
    </row>
    <row r="5" spans="1:25" ht="39.75" customHeight="1">
      <c r="A5" s="420" t="s">
        <v>79</v>
      </c>
      <c r="B5" s="9" t="s">
        <v>80</v>
      </c>
      <c r="C5" s="339" t="str">
        <f>'PRE construction'!AD23</f>
        <v>Moyenne</v>
      </c>
      <c r="D5" s="339" t="str">
        <f>'PRE construction'!AD23</f>
        <v>Moyenne</v>
      </c>
      <c r="E5" s="339" t="str">
        <f>'PRE construction'!AD23</f>
        <v>Moyenne</v>
      </c>
      <c r="F5" s="339" t="str">
        <f>'PRE construction'!AD23</f>
        <v>Moyenne</v>
      </c>
      <c r="G5" s="309" t="str">
        <f>Réalisation!W23</f>
        <v>Mineure</v>
      </c>
      <c r="H5" s="310" t="str">
        <f>Réalisation!W23</f>
        <v>Mineure</v>
      </c>
      <c r="I5" s="310"/>
      <c r="J5" s="310" t="str">
        <f>Réalisation!W23</f>
        <v>Mineure</v>
      </c>
      <c r="K5" s="311" t="str">
        <f>Réalisation!W23</f>
        <v>Mineure</v>
      </c>
      <c r="L5" s="311" t="str">
        <f>Réalisation!W23</f>
        <v>Mineure</v>
      </c>
      <c r="M5" s="311" t="str">
        <f>Réalisation!W23</f>
        <v>Mineure</v>
      </c>
      <c r="N5" s="312"/>
      <c r="O5" s="310" t="str">
        <f>Exploitation!W23</f>
        <v>Mineure</v>
      </c>
      <c r="P5" s="310"/>
      <c r="Q5" s="310" t="str">
        <f>Exploitation!W23</f>
        <v>Mineure</v>
      </c>
      <c r="R5" s="313" t="str">
        <f>Exploitation!W23</f>
        <v>Mineure</v>
      </c>
      <c r="S5" s="309" t="str">
        <f>'[1]Démantalement  '!W23</f>
        <v>Mineure</v>
      </c>
      <c r="T5" s="310" t="str">
        <f>'[1]Démantalement  '!W23</f>
        <v>Mineure</v>
      </c>
      <c r="U5" s="314" t="str">
        <f>Réalisation!W58</f>
        <v>Impact positif</v>
      </c>
      <c r="V5" s="311" t="str">
        <f>'[1]Démantalement  '!W23</f>
        <v>Mineure</v>
      </c>
      <c r="W5" s="415" t="e" cm="1">
        <f t="array" aca="1" ref="W5" ca="1">mean(C5:V9)</f>
        <v>#NAME?</v>
      </c>
      <c r="X5" s="418">
        <v>0.5</v>
      </c>
      <c r="Y5" s="419">
        <f>X5/2</f>
        <v>0.25</v>
      </c>
    </row>
    <row r="6" spans="1:25" ht="48.75" customHeight="1">
      <c r="A6" s="421"/>
      <c r="B6" s="6" t="s">
        <v>81</v>
      </c>
      <c r="C6" s="315"/>
      <c r="D6" s="316"/>
      <c r="E6" s="317" t="str">
        <f>'PRE construction'!AD40</f>
        <v>Mineure</v>
      </c>
      <c r="F6" s="318" t="str">
        <f>'PRE construction'!AD40</f>
        <v>Mineure</v>
      </c>
      <c r="G6" s="319" t="str">
        <f>Réalisation!W40</f>
        <v>Majeure</v>
      </c>
      <c r="H6" s="320"/>
      <c r="I6" s="320"/>
      <c r="J6" s="320"/>
      <c r="K6" s="319" t="str">
        <f>Réalisation!W40</f>
        <v>Majeure</v>
      </c>
      <c r="L6" s="321" t="str">
        <f>Réalisation!W40</f>
        <v>Majeure</v>
      </c>
      <c r="M6" s="321" t="str">
        <f>Réalisation!W40</f>
        <v>Majeure</v>
      </c>
      <c r="N6" s="322"/>
      <c r="O6" s="320"/>
      <c r="P6" s="320" t="str">
        <f>Exploitation!W40</f>
        <v>Moyenne</v>
      </c>
      <c r="Q6" s="320"/>
      <c r="R6" s="323"/>
      <c r="S6" s="319" t="str">
        <f>'[1]Démantalement  '!W40</f>
        <v>Mineure</v>
      </c>
      <c r="T6" s="320" t="str">
        <f>'[1]Démantalement  '!W40</f>
        <v>Mineure</v>
      </c>
      <c r="U6" s="324" t="str">
        <f>Réalisation!W58</f>
        <v>Impact positif</v>
      </c>
      <c r="V6" s="321" t="str">
        <f>'[1]Démantalement  '!W40</f>
        <v>Mineure</v>
      </c>
      <c r="W6" s="415"/>
      <c r="X6" s="418"/>
      <c r="Y6" s="419"/>
    </row>
    <row r="7" spans="1:25" ht="50.25" customHeight="1">
      <c r="A7" s="421"/>
      <c r="B7" s="6" t="s">
        <v>198</v>
      </c>
      <c r="C7" s="315"/>
      <c r="D7" s="316"/>
      <c r="E7" s="320" t="str">
        <f>'PRE construction'!AD23</f>
        <v>Moyenne</v>
      </c>
      <c r="F7" s="323" t="str">
        <f>'PRE construction'!AD23</f>
        <v>Moyenne</v>
      </c>
      <c r="G7" s="319" t="str">
        <f>Réalisation!W23</f>
        <v>Mineure</v>
      </c>
      <c r="H7" s="320" t="str">
        <f>Réalisation!W23</f>
        <v>Mineure</v>
      </c>
      <c r="I7" s="320"/>
      <c r="J7" s="320" t="str">
        <f>Réalisation!W23</f>
        <v>Mineure</v>
      </c>
      <c r="K7" s="321" t="str">
        <f>Réalisation!W23</f>
        <v>Mineure</v>
      </c>
      <c r="L7" s="321"/>
      <c r="M7" s="321" t="str">
        <f>Réalisation!W23</f>
        <v>Mineure</v>
      </c>
      <c r="N7" s="322"/>
      <c r="O7" s="320" t="str">
        <f>Exploitation!W2</f>
        <v>Majeure</v>
      </c>
      <c r="P7" s="320"/>
      <c r="Q7" s="320" t="str">
        <f>Exploitation!W2</f>
        <v>Majeure</v>
      </c>
      <c r="R7" s="323" t="str">
        <f>Exploitation!W2</f>
        <v>Majeure</v>
      </c>
      <c r="S7" s="320" t="str">
        <f>'[1]Démantalement  '!W2</f>
        <v>Moyenne</v>
      </c>
      <c r="T7" s="17" t="str">
        <f>'[1]Démantalement  '!W2</f>
        <v>Moyenne</v>
      </c>
      <c r="U7" s="324" t="str">
        <f>Réalisation!W58</f>
        <v>Impact positif</v>
      </c>
      <c r="V7" s="321" t="str">
        <f>'[1]Démantalement  '!W2</f>
        <v>Moyenne</v>
      </c>
      <c r="W7" s="415"/>
      <c r="X7" s="418"/>
      <c r="Y7" s="419"/>
    </row>
    <row r="8" spans="1:25" ht="43.5" customHeight="1">
      <c r="A8" s="421"/>
      <c r="B8" s="6" t="s">
        <v>172</v>
      </c>
      <c r="C8" s="322"/>
      <c r="D8" s="320" t="str">
        <f>'PRE construction'!AD39</f>
        <v>Mineure</v>
      </c>
      <c r="E8" s="321" t="str">
        <f>'PRE construction'!AD39</f>
        <v>Mineure</v>
      </c>
      <c r="F8" s="323"/>
      <c r="G8" s="320" t="str">
        <f>Réalisation!W39</f>
        <v>Mineure</v>
      </c>
      <c r="H8" s="320" t="str">
        <f>Réalisation!W39</f>
        <v>Mineure</v>
      </c>
      <c r="I8" s="320" t="str">
        <f>Réalisation!W39</f>
        <v>Mineure</v>
      </c>
      <c r="J8" s="320"/>
      <c r="K8" s="321" t="str">
        <f>Réalisation!W39</f>
        <v>Mineure</v>
      </c>
      <c r="L8" s="325" t="str">
        <f>Réalisation!W58</f>
        <v>Impact positif</v>
      </c>
      <c r="M8" s="321"/>
      <c r="N8" s="322" t="str">
        <f>Exploitation!W39</f>
        <v>Mineure</v>
      </c>
      <c r="O8" s="320"/>
      <c r="P8" s="320"/>
      <c r="Q8" s="320"/>
      <c r="R8" s="323"/>
      <c r="S8" s="319"/>
      <c r="T8" s="320"/>
      <c r="U8" s="324" t="str">
        <f>Réalisation!W58</f>
        <v>Impact positif</v>
      </c>
      <c r="V8" s="321"/>
      <c r="W8" s="415"/>
      <c r="X8" s="418"/>
      <c r="Y8" s="419"/>
    </row>
    <row r="9" spans="1:25" ht="42.75" customHeight="1" thickBot="1">
      <c r="A9" s="422"/>
      <c r="B9" s="6" t="s">
        <v>173</v>
      </c>
      <c r="C9" s="322"/>
      <c r="D9" s="320"/>
      <c r="E9" s="321"/>
      <c r="F9" s="323"/>
      <c r="G9" s="319" t="str">
        <f>Réalisation!W37</f>
        <v>Mineure</v>
      </c>
      <c r="H9" s="320"/>
      <c r="I9" s="320" t="str">
        <f>Réalisation!W37</f>
        <v>Mineure</v>
      </c>
      <c r="J9" s="320"/>
      <c r="K9" s="321" t="str">
        <f>Réalisation!W37</f>
        <v>Mineure</v>
      </c>
      <c r="L9" s="325" t="str">
        <f>Réalisation!W37</f>
        <v>Mineure</v>
      </c>
      <c r="M9" s="321" t="str">
        <f>Réalisation!W37</f>
        <v>Mineure</v>
      </c>
      <c r="N9" s="322" t="str">
        <f>Exploitation!W37</f>
        <v>Mineure</v>
      </c>
      <c r="O9" s="320"/>
      <c r="P9" s="320"/>
      <c r="Q9" s="320"/>
      <c r="R9" s="323"/>
      <c r="S9" s="319" t="str">
        <f>'[1]Démantalement  '!W37</f>
        <v>Mineure</v>
      </c>
      <c r="T9" s="326"/>
      <c r="U9" s="327" t="str">
        <f>Réalisation!W58</f>
        <v>Impact positif</v>
      </c>
      <c r="V9" s="321" t="str">
        <f>'[1]Démantalement  '!W37</f>
        <v>Mineure</v>
      </c>
      <c r="W9" s="415"/>
      <c r="X9" s="418"/>
      <c r="Y9" s="419"/>
    </row>
    <row r="10" spans="1:25" ht="41.25" customHeight="1">
      <c r="A10" s="420" t="s">
        <v>82</v>
      </c>
      <c r="B10" s="9" t="s">
        <v>83</v>
      </c>
      <c r="C10" s="312"/>
      <c r="D10" s="310"/>
      <c r="E10" s="310"/>
      <c r="F10" s="313"/>
      <c r="G10" s="309" t="str">
        <f>Réalisation!N61</f>
        <v>Mineure</v>
      </c>
      <c r="H10" s="310"/>
      <c r="I10" s="310"/>
      <c r="J10" s="310" t="str">
        <f>Réalisation!N61</f>
        <v>Mineure</v>
      </c>
      <c r="K10" s="310" t="str">
        <f>Réalisation!N61</f>
        <v>Mineure</v>
      </c>
      <c r="L10" s="314"/>
      <c r="M10" s="313" t="str">
        <f>Réalisation!N61</f>
        <v>Mineure</v>
      </c>
      <c r="N10" s="309"/>
      <c r="O10" s="310" t="str">
        <f>Exploitation!N61</f>
        <v>Mineure</v>
      </c>
      <c r="P10" s="310"/>
      <c r="Q10" s="310" t="str">
        <f>Exploitation!N61</f>
        <v>Mineure</v>
      </c>
      <c r="R10" s="313"/>
      <c r="S10" s="309" t="str">
        <f>'Démantalement  '!N62</f>
        <v>Mineure</v>
      </c>
      <c r="T10" s="310" t="str">
        <f>'Démantalement  '!N62</f>
        <v>Mineure</v>
      </c>
      <c r="U10" s="314" t="str">
        <f>Réalisation!W58</f>
        <v>Impact positif</v>
      </c>
      <c r="V10" s="311" t="str">
        <f>'Démantalement  '!N62</f>
        <v>Mineure</v>
      </c>
      <c r="W10" s="416"/>
      <c r="X10" s="418">
        <v>1.2</v>
      </c>
      <c r="Y10" s="419">
        <f>X10/2</f>
        <v>0.6</v>
      </c>
    </row>
    <row r="11" spans="1:25" ht="35.25" customHeight="1">
      <c r="A11" s="421"/>
      <c r="B11" s="6" t="s">
        <v>84</v>
      </c>
      <c r="C11" s="322"/>
      <c r="D11" s="320"/>
      <c r="E11" s="320"/>
      <c r="F11" s="323"/>
      <c r="G11" s="319" t="str">
        <f>Réalisation!P63</f>
        <v>Mineure</v>
      </c>
      <c r="H11" s="320"/>
      <c r="I11" s="320"/>
      <c r="J11" s="319" t="str">
        <f>Réalisation!P63</f>
        <v>Mineure</v>
      </c>
      <c r="K11" s="320" t="str">
        <f>Réalisation!P63</f>
        <v>Mineure</v>
      </c>
      <c r="L11" s="324"/>
      <c r="M11" s="323" t="str">
        <f>Réalisation!P63</f>
        <v>Mineure</v>
      </c>
      <c r="N11" s="319"/>
      <c r="O11" s="320"/>
      <c r="P11" s="320"/>
      <c r="Q11" s="320" t="str">
        <f>Exploitation!P63</f>
        <v>Mineure</v>
      </c>
      <c r="R11" s="323"/>
      <c r="S11" s="319" t="str">
        <f>'Démantalement  '!N63</f>
        <v>Mineure</v>
      </c>
      <c r="T11" s="320" t="str">
        <f>'Démantalement  '!N63</f>
        <v>Mineure</v>
      </c>
      <c r="U11" s="324" t="str">
        <f>Réalisation!W58</f>
        <v>Impact positif</v>
      </c>
      <c r="V11" s="321" t="str">
        <f>'Démantalement  '!N63</f>
        <v>Mineure</v>
      </c>
      <c r="W11" s="416"/>
      <c r="X11" s="418"/>
      <c r="Y11" s="419"/>
    </row>
    <row r="12" spans="1:25" ht="38.25" customHeight="1" thickBot="1">
      <c r="A12" s="422"/>
      <c r="B12" s="38" t="s">
        <v>171</v>
      </c>
      <c r="C12" s="328"/>
      <c r="D12" s="326"/>
      <c r="E12" s="326"/>
      <c r="F12" s="329"/>
      <c r="G12" s="330"/>
      <c r="H12" s="326"/>
      <c r="I12" s="326"/>
      <c r="J12" s="326"/>
      <c r="K12" s="326"/>
      <c r="L12" s="327"/>
      <c r="M12" s="329"/>
      <c r="N12" s="330"/>
      <c r="O12" s="326"/>
      <c r="P12" s="326"/>
      <c r="Q12" s="326" t="str">
        <f>Exploitation!P63</f>
        <v>Mineure</v>
      </c>
      <c r="R12" s="329"/>
      <c r="S12" s="331" t="str">
        <f>Réalisation!W58</f>
        <v>Impact positif</v>
      </c>
      <c r="T12" s="326"/>
      <c r="U12" s="332" t="str">
        <f>Réalisation!W58</f>
        <v>Impact positif</v>
      </c>
      <c r="V12" s="333"/>
      <c r="W12" s="416"/>
      <c r="X12" s="418"/>
      <c r="Y12" s="419"/>
    </row>
    <row r="13" spans="1:25" ht="42" customHeight="1">
      <c r="A13" s="420" t="s">
        <v>169</v>
      </c>
      <c r="B13" s="13" t="s">
        <v>170</v>
      </c>
      <c r="C13" s="312"/>
      <c r="D13" s="310"/>
      <c r="E13" s="311"/>
      <c r="F13" s="313"/>
      <c r="G13" s="309"/>
      <c r="H13" s="310"/>
      <c r="I13" s="310"/>
      <c r="J13" s="310"/>
      <c r="K13" s="311"/>
      <c r="L13" s="334" t="str">
        <f>Réalisation!W58</f>
        <v>Impact positif</v>
      </c>
      <c r="M13" s="311" t="str">
        <f>Réalisation!W47</f>
        <v>Mineure</v>
      </c>
      <c r="N13" s="312"/>
      <c r="O13" s="310"/>
      <c r="P13" s="310"/>
      <c r="Q13" s="310"/>
      <c r="R13" s="313"/>
      <c r="S13" s="309"/>
      <c r="T13" s="310"/>
      <c r="U13" s="335" t="str">
        <f>Réalisation!W58</f>
        <v>Impact positif</v>
      </c>
      <c r="V13" s="311"/>
      <c r="W13" s="417"/>
      <c r="X13" s="418">
        <v>0</v>
      </c>
      <c r="Y13" s="419">
        <f>X13/2</f>
        <v>0</v>
      </c>
    </row>
    <row r="14" spans="1:25" ht="41.25" customHeight="1">
      <c r="A14" s="421"/>
      <c r="B14" s="6" t="s">
        <v>85</v>
      </c>
      <c r="C14" s="322"/>
      <c r="D14" s="320"/>
      <c r="E14" s="321"/>
      <c r="F14" s="323"/>
      <c r="G14" s="319" t="str">
        <f>Réalisation!W54</f>
        <v>Mineure</v>
      </c>
      <c r="H14" s="320" t="str">
        <f>Réalisation!W54</f>
        <v>Mineure</v>
      </c>
      <c r="I14" s="320"/>
      <c r="J14" s="320" t="str">
        <f>Réalisation!W54</f>
        <v>Mineure</v>
      </c>
      <c r="K14" s="17"/>
      <c r="L14" s="325" t="str">
        <f>Réalisation!W58</f>
        <v>Impact positif</v>
      </c>
      <c r="M14" s="321" t="str">
        <f>Réalisation!W54</f>
        <v>Mineure</v>
      </c>
      <c r="N14" s="322"/>
      <c r="O14" s="320" t="str">
        <f>Exploitation!W54</f>
        <v>Mineure</v>
      </c>
      <c r="P14" s="320" t="str">
        <f>Exploitation!W54</f>
        <v>Mineure</v>
      </c>
      <c r="Q14" s="320" t="str">
        <f>Exploitation!W54</f>
        <v>Mineure</v>
      </c>
      <c r="R14" s="323" t="str">
        <f>Exploitation!W54</f>
        <v>Mineure</v>
      </c>
      <c r="S14" s="319" t="str">
        <f>'Démantalement  '!W54</f>
        <v>Mineure</v>
      </c>
      <c r="T14" s="320" t="str">
        <f>'Démantalement  '!W54</f>
        <v>Mineure</v>
      </c>
      <c r="U14" s="324" t="str">
        <f>Réalisation!W58</f>
        <v>Impact positif</v>
      </c>
      <c r="V14" s="321" t="str">
        <f>'Démantalement  '!W54</f>
        <v>Mineure</v>
      </c>
      <c r="W14" s="417"/>
      <c r="X14" s="418"/>
      <c r="Y14" s="419"/>
    </row>
    <row r="15" spans="1:25" ht="44.25" customHeight="1">
      <c r="A15" s="421"/>
      <c r="B15" s="7" t="s">
        <v>86</v>
      </c>
      <c r="C15" s="336" t="str">
        <f>'PRE construction'!AD58</f>
        <v>Impact positif</v>
      </c>
      <c r="D15" s="320"/>
      <c r="E15" s="325" t="str">
        <f>'PRE construction'!AD58</f>
        <v>Impact positif</v>
      </c>
      <c r="F15" s="337" t="str">
        <f>'PRE construction'!AD58</f>
        <v>Impact positif</v>
      </c>
      <c r="G15" s="338" t="str">
        <f>Réalisation!W58</f>
        <v>Impact positif</v>
      </c>
      <c r="H15" s="324" t="str">
        <f>Réalisation!W58</f>
        <v>Impact positif</v>
      </c>
      <c r="I15" s="324" t="str">
        <f>Réalisation!W58</f>
        <v>Impact positif</v>
      </c>
      <c r="J15" s="324"/>
      <c r="K15" s="325"/>
      <c r="L15" s="325"/>
      <c r="M15" s="325" t="str">
        <f>Réalisation!W58</f>
        <v>Impact positif</v>
      </c>
      <c r="N15" s="336"/>
      <c r="O15" s="320"/>
      <c r="P15" s="320"/>
      <c r="Q15" s="324" t="str">
        <f>Exploitation!W58</f>
        <v>Impact positif</v>
      </c>
      <c r="R15" s="337" t="str">
        <f>Exploitation!W58</f>
        <v>Impact positif</v>
      </c>
      <c r="S15" s="338" t="str">
        <f>'Démantalement  '!W58</f>
        <v>Impact positif</v>
      </c>
      <c r="T15" s="324" t="str">
        <f>'Démantalement  '!W58</f>
        <v>Impact positif</v>
      </c>
      <c r="U15" s="324"/>
      <c r="V15" s="325" t="str">
        <f>'Démantalement  '!W58</f>
        <v>Impact positif</v>
      </c>
      <c r="W15" s="417"/>
      <c r="X15" s="418"/>
      <c r="Y15" s="419"/>
    </row>
    <row r="16" spans="1:25" ht="36.75" customHeight="1" thickBot="1">
      <c r="A16" s="422"/>
      <c r="B16" s="8" t="s">
        <v>278</v>
      </c>
      <c r="C16" s="328"/>
      <c r="D16" s="326"/>
      <c r="E16" s="333"/>
      <c r="F16" s="329"/>
      <c r="G16" s="330"/>
      <c r="H16" s="326"/>
      <c r="I16" s="326"/>
      <c r="J16" s="326"/>
      <c r="K16" s="333" t="str">
        <f>Réalisation!W57</f>
        <v>Mineure</v>
      </c>
      <c r="L16" s="333"/>
      <c r="M16" s="333" t="str">
        <f>Réalisation!W57</f>
        <v>Mineure</v>
      </c>
      <c r="N16" s="328"/>
      <c r="O16" s="326"/>
      <c r="P16" s="326"/>
      <c r="Q16" s="326" t="str">
        <f>Exploitation!W57</f>
        <v>Mineure</v>
      </c>
      <c r="R16" s="329"/>
      <c r="S16" s="330" t="str">
        <f>'Démantalement  '!W57</f>
        <v>Mineure</v>
      </c>
      <c r="T16" s="326" t="str">
        <f>'Démantalement  '!W57</f>
        <v>Mineure</v>
      </c>
      <c r="U16" s="326"/>
      <c r="V16" s="333" t="str">
        <f>'Démantalement  '!W57</f>
        <v>Mineure</v>
      </c>
      <c r="W16" s="417"/>
      <c r="X16" s="418"/>
      <c r="Y16" s="419"/>
    </row>
    <row r="17" spans="1:23" ht="18.5">
      <c r="A17" s="37"/>
      <c r="W17" s="14"/>
    </row>
  </sheetData>
  <mergeCells count="20">
    <mergeCell ref="A5:A9"/>
    <mergeCell ref="A13:A16"/>
    <mergeCell ref="A1:V1"/>
    <mergeCell ref="C2:V2"/>
    <mergeCell ref="G3:M3"/>
    <mergeCell ref="S3:V3"/>
    <mergeCell ref="N3:R3"/>
    <mergeCell ref="C3:F3"/>
    <mergeCell ref="B2:B4"/>
    <mergeCell ref="A2:A4"/>
    <mergeCell ref="A10:A12"/>
    <mergeCell ref="W5:W9"/>
    <mergeCell ref="W10:W12"/>
    <mergeCell ref="W13:W16"/>
    <mergeCell ref="X5:X9"/>
    <mergeCell ref="Y5:Y9"/>
    <mergeCell ref="X10:X12"/>
    <mergeCell ref="Y10:Y12"/>
    <mergeCell ref="X13:X16"/>
    <mergeCell ref="Y13:Y16"/>
  </mergeCells>
  <conditionalFormatting sqref="C5:V16">
    <cfRule type="containsText" dxfId="3" priority="5" operator="containsText" text="mineure">
      <formula>NOT(ISERROR(SEARCH("mineure",C5)))</formula>
    </cfRule>
    <cfRule type="containsText" dxfId="2" priority="4" operator="containsText" text="moyenne">
      <formula>NOT(ISERROR(SEARCH("moyenne",C5)))</formula>
    </cfRule>
    <cfRule type="containsText" dxfId="1" priority="3" operator="containsText" text="majeure">
      <formula>NOT(ISERROR(SEARCH("majeure",C5)))</formula>
    </cfRule>
    <cfRule type="containsText" dxfId="0" priority="1" operator="containsText" text="impact positif">
      <formula>NOT(ISERROR(SEARCH("impact positif",C5)))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7"/>
  <dimension ref="A1:Z19"/>
  <sheetViews>
    <sheetView zoomScale="59" zoomScaleNormal="57" workbookViewId="0">
      <selection activeCell="O25" sqref="O25"/>
    </sheetView>
  </sheetViews>
  <sheetFormatPr defaultColWidth="9.1796875" defaultRowHeight="14.5"/>
  <sheetData>
    <row r="1" spans="1:26" ht="15.5" thickTop="1" thickBot="1">
      <c r="A1" s="504" t="s">
        <v>174</v>
      </c>
      <c r="B1" s="505"/>
      <c r="C1" s="506"/>
      <c r="D1" s="504" t="s">
        <v>175</v>
      </c>
      <c r="E1" s="506"/>
      <c r="F1" s="513" t="s">
        <v>176</v>
      </c>
      <c r="G1" s="514"/>
      <c r="H1" s="514"/>
      <c r="I1" s="514"/>
      <c r="J1" s="514"/>
      <c r="K1" s="514"/>
      <c r="L1" s="514"/>
      <c r="M1" s="514"/>
      <c r="N1" s="514"/>
      <c r="O1" s="514"/>
      <c r="P1" s="514"/>
      <c r="Q1" s="514"/>
      <c r="R1" s="514"/>
      <c r="S1" s="514"/>
      <c r="T1" s="514"/>
      <c r="U1" s="514"/>
      <c r="V1" s="514"/>
      <c r="W1" s="514"/>
      <c r="X1" s="514"/>
      <c r="Y1" s="514"/>
      <c r="Z1" s="515"/>
    </row>
    <row r="2" spans="1:26" ht="15.5" thickTop="1" thickBot="1">
      <c r="A2" s="507"/>
      <c r="B2" s="508"/>
      <c r="C2" s="509"/>
      <c r="D2" s="507"/>
      <c r="E2" s="509"/>
      <c r="F2" s="516" t="s">
        <v>177</v>
      </c>
      <c r="G2" s="517"/>
      <c r="H2" s="517"/>
      <c r="I2" s="517"/>
      <c r="J2" s="518"/>
      <c r="K2" s="498" t="s">
        <v>178</v>
      </c>
      <c r="L2" s="499"/>
      <c r="M2" s="499"/>
      <c r="N2" s="499"/>
      <c r="O2" s="499"/>
      <c r="P2" s="499"/>
      <c r="Q2" s="500"/>
      <c r="R2" s="513" t="s">
        <v>68</v>
      </c>
      <c r="S2" s="514"/>
      <c r="T2" s="514"/>
      <c r="U2" s="514"/>
      <c r="V2" s="515"/>
      <c r="W2" s="498" t="s">
        <v>179</v>
      </c>
      <c r="X2" s="499"/>
      <c r="Y2" s="499"/>
      <c r="Z2" s="500"/>
    </row>
    <row r="3" spans="1:26" ht="186.75" customHeight="1" thickTop="1" thickBot="1">
      <c r="A3" s="510"/>
      <c r="B3" s="511"/>
      <c r="C3" s="512"/>
      <c r="D3" s="510"/>
      <c r="E3" s="512"/>
      <c r="F3" s="519" t="s">
        <v>180</v>
      </c>
      <c r="G3" s="520"/>
      <c r="H3" s="39" t="s">
        <v>181</v>
      </c>
      <c r="I3" s="39" t="s">
        <v>182</v>
      </c>
      <c r="J3" s="40" t="s">
        <v>183</v>
      </c>
      <c r="K3" s="41" t="s">
        <v>161</v>
      </c>
      <c r="L3" s="39" t="s">
        <v>184</v>
      </c>
      <c r="M3" s="39" t="s">
        <v>185</v>
      </c>
      <c r="N3" s="39" t="s">
        <v>186</v>
      </c>
      <c r="O3" s="39" t="s">
        <v>187</v>
      </c>
      <c r="P3" s="39" t="s">
        <v>188</v>
      </c>
      <c r="Q3" s="40" t="s">
        <v>183</v>
      </c>
      <c r="R3" s="120" t="s">
        <v>189</v>
      </c>
      <c r="S3" s="121" t="s">
        <v>163</v>
      </c>
      <c r="T3" s="121" t="s">
        <v>190</v>
      </c>
      <c r="U3" s="122" t="s">
        <v>191</v>
      </c>
      <c r="V3" s="123" t="s">
        <v>192</v>
      </c>
      <c r="W3" s="39" t="s">
        <v>193</v>
      </c>
      <c r="X3" s="42" t="s">
        <v>194</v>
      </c>
      <c r="Y3" s="42" t="s">
        <v>188</v>
      </c>
      <c r="Z3" s="43" t="s">
        <v>159</v>
      </c>
    </row>
    <row r="4" spans="1:26" ht="55.5" customHeight="1" thickTop="1" thickBot="1">
      <c r="A4" s="498" t="s">
        <v>195</v>
      </c>
      <c r="B4" s="499"/>
      <c r="C4" s="500"/>
      <c r="D4" s="494" t="s">
        <v>196</v>
      </c>
      <c r="E4" s="495"/>
      <c r="F4" s="521"/>
      <c r="G4" s="522"/>
      <c r="H4" s="44"/>
      <c r="I4" s="44"/>
      <c r="J4" s="45"/>
      <c r="K4" s="46"/>
      <c r="L4" s="44"/>
      <c r="M4" s="47"/>
      <c r="N4" s="44"/>
      <c r="O4" s="44"/>
      <c r="P4" s="44"/>
      <c r="Q4" s="44"/>
      <c r="R4" s="48"/>
      <c r="S4" s="46"/>
      <c r="T4" s="49"/>
      <c r="U4" s="44"/>
      <c r="V4" s="50"/>
      <c r="W4" s="44"/>
      <c r="X4" s="44"/>
      <c r="Y4" s="51"/>
      <c r="Z4" s="52"/>
    </row>
    <row r="5" spans="1:26" ht="33" customHeight="1" thickBot="1">
      <c r="A5" s="482"/>
      <c r="B5" s="483"/>
      <c r="C5" s="484"/>
      <c r="D5" s="485" t="s">
        <v>197</v>
      </c>
      <c r="E5" s="486"/>
      <c r="F5" s="487"/>
      <c r="G5" s="488"/>
      <c r="H5" s="47"/>
      <c r="I5" s="44"/>
      <c r="J5" s="45"/>
      <c r="K5" s="53"/>
      <c r="L5" s="47"/>
      <c r="M5" s="47"/>
      <c r="N5" s="54"/>
      <c r="O5" s="44"/>
      <c r="P5" s="44"/>
      <c r="Q5" s="44"/>
      <c r="R5" s="55"/>
      <c r="S5" s="56"/>
      <c r="T5" s="57"/>
      <c r="U5" s="47"/>
      <c r="V5" s="58"/>
      <c r="W5" s="44"/>
      <c r="X5" s="59"/>
      <c r="Y5" s="51"/>
      <c r="Z5" s="60"/>
    </row>
    <row r="6" spans="1:26" ht="34.5" customHeight="1" thickBot="1">
      <c r="A6" s="482"/>
      <c r="B6" s="483"/>
      <c r="C6" s="484"/>
      <c r="D6" s="485" t="s">
        <v>198</v>
      </c>
      <c r="E6" s="486"/>
      <c r="F6" s="487"/>
      <c r="G6" s="488"/>
      <c r="H6" s="47"/>
      <c r="I6" s="44"/>
      <c r="J6" s="61"/>
      <c r="K6" s="62"/>
      <c r="L6" s="44"/>
      <c r="M6" s="47"/>
      <c r="N6" s="44"/>
      <c r="O6" s="59"/>
      <c r="P6" s="47"/>
      <c r="Q6" s="59"/>
      <c r="R6" s="55"/>
      <c r="S6" s="46"/>
      <c r="T6" s="63"/>
      <c r="U6" s="44"/>
      <c r="V6" s="50"/>
      <c r="W6" s="44"/>
      <c r="X6" s="44"/>
      <c r="Y6" s="64"/>
      <c r="Z6" s="52"/>
    </row>
    <row r="7" spans="1:26" ht="15" thickBot="1">
      <c r="A7" s="482"/>
      <c r="B7" s="483"/>
      <c r="C7" s="484"/>
      <c r="D7" s="485" t="s">
        <v>199</v>
      </c>
      <c r="E7" s="486"/>
      <c r="F7" s="487"/>
      <c r="G7" s="488"/>
      <c r="H7" s="59"/>
      <c r="I7" s="65"/>
      <c r="J7" s="66"/>
      <c r="K7" s="46"/>
      <c r="L7" s="44"/>
      <c r="M7" s="44"/>
      <c r="N7" s="67"/>
      <c r="O7" s="44"/>
      <c r="P7" s="68"/>
      <c r="Q7" s="69"/>
      <c r="R7" s="59"/>
      <c r="S7" s="56"/>
      <c r="T7" s="70"/>
      <c r="U7" s="47"/>
      <c r="V7" s="71"/>
      <c r="W7" s="47"/>
      <c r="X7" s="51"/>
      <c r="Y7" s="51"/>
      <c r="Z7" s="72"/>
    </row>
    <row r="8" spans="1:26" ht="30.75" customHeight="1" thickBot="1">
      <c r="A8" s="501"/>
      <c r="B8" s="502"/>
      <c r="C8" s="503"/>
      <c r="D8" s="456" t="s">
        <v>200</v>
      </c>
      <c r="E8" s="457"/>
      <c r="F8" s="458"/>
      <c r="G8" s="459"/>
      <c r="H8" s="73"/>
      <c r="I8" s="74"/>
      <c r="J8" s="75"/>
      <c r="K8" s="76"/>
      <c r="L8" s="73"/>
      <c r="M8" s="77"/>
      <c r="N8" s="78"/>
      <c r="O8" s="77"/>
      <c r="P8" s="74"/>
      <c r="Q8" s="75"/>
      <c r="R8" s="77"/>
      <c r="S8" s="79"/>
      <c r="T8" s="80"/>
      <c r="U8" s="73"/>
      <c r="V8" s="81"/>
      <c r="W8" s="74"/>
      <c r="X8" s="82"/>
      <c r="Y8" s="83"/>
      <c r="Z8" s="84"/>
    </row>
    <row r="9" spans="1:26" ht="42.75" customHeight="1" thickTop="1" thickBot="1">
      <c r="A9" s="498" t="s">
        <v>82</v>
      </c>
      <c r="B9" s="499"/>
      <c r="C9" s="500"/>
      <c r="D9" s="494" t="s">
        <v>83</v>
      </c>
      <c r="E9" s="495"/>
      <c r="F9" s="496"/>
      <c r="G9" s="497"/>
      <c r="H9" s="47"/>
      <c r="I9" s="59"/>
      <c r="J9" s="45"/>
      <c r="K9" s="46"/>
      <c r="L9" s="47"/>
      <c r="M9" s="47"/>
      <c r="N9" s="85"/>
      <c r="O9" s="59"/>
      <c r="P9" s="67"/>
      <c r="Q9" s="45"/>
      <c r="R9" s="55"/>
      <c r="S9" s="46"/>
      <c r="T9" s="86"/>
      <c r="U9" s="59"/>
      <c r="V9" s="87"/>
      <c r="W9" s="44"/>
      <c r="X9" s="59"/>
      <c r="Y9" s="51"/>
      <c r="Z9" s="52"/>
    </row>
    <row r="10" spans="1:26" ht="51" customHeight="1" thickBot="1">
      <c r="A10" s="482"/>
      <c r="B10" s="483"/>
      <c r="C10" s="484"/>
      <c r="D10" s="485" t="s">
        <v>201</v>
      </c>
      <c r="E10" s="486"/>
      <c r="F10" s="487"/>
      <c r="G10" s="488"/>
      <c r="H10" s="47"/>
      <c r="I10" s="44"/>
      <c r="J10" s="45"/>
      <c r="K10" s="46"/>
      <c r="L10" s="55"/>
      <c r="M10" s="47"/>
      <c r="N10" s="85"/>
      <c r="O10" s="59"/>
      <c r="P10" s="47"/>
      <c r="Q10" s="61"/>
      <c r="R10" s="55"/>
      <c r="S10" s="49"/>
      <c r="T10" s="56"/>
      <c r="U10" s="59"/>
      <c r="V10" s="87"/>
      <c r="W10" s="44"/>
      <c r="X10" s="88"/>
      <c r="Y10" s="68"/>
      <c r="Z10" s="60"/>
    </row>
    <row r="11" spans="1:26" ht="44.25" customHeight="1" thickBot="1">
      <c r="A11" s="501"/>
      <c r="B11" s="502"/>
      <c r="C11" s="503"/>
      <c r="D11" s="456" t="s">
        <v>202</v>
      </c>
      <c r="E11" s="457"/>
      <c r="F11" s="458"/>
      <c r="G11" s="459"/>
      <c r="H11" s="73"/>
      <c r="I11" s="73"/>
      <c r="J11" s="89"/>
      <c r="K11" s="80"/>
      <c r="L11" s="73"/>
      <c r="M11" s="73"/>
      <c r="N11" s="78"/>
      <c r="O11" s="73"/>
      <c r="P11" s="73"/>
      <c r="Q11" s="89"/>
      <c r="R11" s="73"/>
      <c r="S11" s="79"/>
      <c r="T11" s="80"/>
      <c r="U11" s="90"/>
      <c r="V11" s="91"/>
      <c r="W11" s="83"/>
      <c r="X11" s="73"/>
      <c r="Y11" s="83"/>
      <c r="Z11" s="91"/>
    </row>
    <row r="12" spans="1:26" ht="36.75" customHeight="1" thickTop="1" thickBot="1">
      <c r="A12" s="491"/>
      <c r="B12" s="492"/>
      <c r="C12" s="493"/>
      <c r="D12" s="494" t="s">
        <v>203</v>
      </c>
      <c r="E12" s="495"/>
      <c r="F12" s="496"/>
      <c r="G12" s="497"/>
      <c r="H12" s="47"/>
      <c r="I12" s="47"/>
      <c r="J12" s="45"/>
      <c r="K12" s="49"/>
      <c r="L12" s="67"/>
      <c r="M12" s="67"/>
      <c r="N12" s="67"/>
      <c r="O12" s="47"/>
      <c r="P12" s="68"/>
      <c r="Q12" s="61"/>
      <c r="R12" s="55"/>
      <c r="S12" s="49"/>
      <c r="T12" s="86"/>
      <c r="U12" s="47"/>
      <c r="V12" s="58"/>
      <c r="W12" s="48"/>
      <c r="X12" s="55"/>
      <c r="Y12" s="68"/>
      <c r="Z12" s="92"/>
    </row>
    <row r="13" spans="1:26" ht="36" customHeight="1" thickBot="1">
      <c r="A13" s="482" t="s">
        <v>204</v>
      </c>
      <c r="B13" s="483"/>
      <c r="C13" s="484"/>
      <c r="D13" s="485" t="s">
        <v>85</v>
      </c>
      <c r="E13" s="486"/>
      <c r="F13" s="487"/>
      <c r="G13" s="488"/>
      <c r="H13" s="47"/>
      <c r="I13" s="44"/>
      <c r="J13" s="61"/>
      <c r="K13" s="46"/>
      <c r="L13" s="44"/>
      <c r="M13" s="67"/>
      <c r="N13" s="44"/>
      <c r="O13" s="67"/>
      <c r="P13" s="64"/>
      <c r="Q13" s="45"/>
      <c r="R13" s="55"/>
      <c r="S13" s="46"/>
      <c r="T13" s="46"/>
      <c r="U13" s="44"/>
      <c r="V13" s="50"/>
      <c r="W13" s="44"/>
      <c r="X13" s="44"/>
      <c r="Y13" s="64"/>
      <c r="Z13" s="50"/>
    </row>
    <row r="14" spans="1:26" ht="35.25" customHeight="1">
      <c r="A14" s="453"/>
      <c r="B14" s="454"/>
      <c r="C14" s="455"/>
      <c r="D14" s="464" t="s">
        <v>205</v>
      </c>
      <c r="E14" s="465"/>
      <c r="F14" s="468"/>
      <c r="G14" s="469"/>
      <c r="H14" s="460"/>
      <c r="I14" s="472"/>
      <c r="J14" s="476"/>
      <c r="K14" s="478"/>
      <c r="L14" s="472"/>
      <c r="M14" s="472"/>
      <c r="N14" s="480"/>
      <c r="O14" s="460"/>
      <c r="P14" s="460"/>
      <c r="Q14" s="462"/>
      <c r="R14" s="489"/>
      <c r="S14" s="474"/>
      <c r="T14" s="474"/>
      <c r="U14" s="472"/>
      <c r="V14" s="445"/>
      <c r="W14" s="447"/>
      <c r="X14" s="449"/>
      <c r="Y14" s="451"/>
      <c r="Z14" s="445"/>
    </row>
    <row r="15" spans="1:26" ht="25.5" customHeight="1" thickBot="1">
      <c r="A15" s="453"/>
      <c r="B15" s="454"/>
      <c r="C15" s="455"/>
      <c r="D15" s="466" t="s">
        <v>206</v>
      </c>
      <c r="E15" s="467"/>
      <c r="F15" s="470"/>
      <c r="G15" s="471"/>
      <c r="H15" s="461"/>
      <c r="I15" s="473"/>
      <c r="J15" s="477"/>
      <c r="K15" s="479"/>
      <c r="L15" s="473"/>
      <c r="M15" s="473"/>
      <c r="N15" s="481"/>
      <c r="O15" s="461"/>
      <c r="P15" s="461"/>
      <c r="Q15" s="463"/>
      <c r="R15" s="490"/>
      <c r="S15" s="475"/>
      <c r="T15" s="475"/>
      <c r="U15" s="473"/>
      <c r="V15" s="446"/>
      <c r="W15" s="448"/>
      <c r="X15" s="450"/>
      <c r="Y15" s="452"/>
      <c r="Z15" s="446"/>
    </row>
    <row r="16" spans="1:26" ht="40.5" customHeight="1" thickBot="1">
      <c r="A16" s="453"/>
      <c r="B16" s="454"/>
      <c r="C16" s="455"/>
      <c r="D16" s="456" t="s">
        <v>207</v>
      </c>
      <c r="E16" s="457"/>
      <c r="F16" s="458"/>
      <c r="G16" s="459"/>
      <c r="H16" s="73"/>
      <c r="I16" s="74"/>
      <c r="J16" s="75"/>
      <c r="K16" s="93"/>
      <c r="L16" s="73"/>
      <c r="M16" s="73"/>
      <c r="N16" s="78"/>
      <c r="O16" s="77"/>
      <c r="P16" s="73"/>
      <c r="Q16" s="94"/>
      <c r="R16" s="73"/>
      <c r="S16" s="80"/>
      <c r="T16" s="80"/>
      <c r="U16" s="77"/>
      <c r="V16" s="81"/>
      <c r="W16" s="74"/>
      <c r="X16" s="77"/>
      <c r="Y16" s="95"/>
      <c r="Z16" s="96"/>
    </row>
    <row r="17" spans="1:26" ht="15.5" thickTop="1" thickBot="1">
      <c r="A17" s="97"/>
      <c r="B17" s="98"/>
      <c r="C17" s="441" t="s">
        <v>208</v>
      </c>
      <c r="D17" s="442"/>
      <c r="E17" s="443"/>
      <c r="F17" s="444"/>
      <c r="G17" s="439"/>
      <c r="H17" s="440"/>
      <c r="I17" s="440"/>
      <c r="J17" s="440"/>
      <c r="K17" s="440"/>
      <c r="L17" s="440"/>
      <c r="M17" s="440"/>
      <c r="N17" s="440"/>
      <c r="O17" s="440"/>
      <c r="P17" s="440"/>
      <c r="Q17" s="440"/>
      <c r="R17" s="440"/>
      <c r="S17" s="440"/>
      <c r="T17" s="440"/>
      <c r="U17" s="440"/>
      <c r="V17" s="440"/>
      <c r="W17" s="440"/>
      <c r="X17" s="440"/>
      <c r="Y17" s="440"/>
      <c r="Z17" s="440"/>
    </row>
    <row r="18" spans="1:26" ht="15" thickBot="1">
      <c r="A18" s="97"/>
      <c r="B18" s="99"/>
      <c r="C18" s="435" t="s">
        <v>209</v>
      </c>
      <c r="D18" s="436"/>
      <c r="E18" s="437"/>
      <c r="F18" s="438"/>
      <c r="G18" s="439"/>
      <c r="H18" s="440"/>
      <c r="I18" s="440"/>
      <c r="J18" s="440"/>
      <c r="K18" s="440"/>
      <c r="L18" s="440"/>
      <c r="M18" s="440"/>
      <c r="N18" s="440"/>
      <c r="O18" s="440"/>
      <c r="P18" s="440"/>
      <c r="Q18" s="440"/>
      <c r="R18" s="440"/>
      <c r="S18" s="440"/>
      <c r="T18" s="440"/>
      <c r="U18" s="440"/>
      <c r="V18" s="440"/>
      <c r="W18" s="440"/>
      <c r="X18" s="440"/>
      <c r="Y18" s="440"/>
      <c r="Z18" s="440"/>
    </row>
    <row r="19" spans="1:26" ht="15" thickBot="1">
      <c r="A19" s="97"/>
      <c r="B19" s="100"/>
      <c r="C19" s="435" t="s">
        <v>210</v>
      </c>
      <c r="D19" s="436"/>
      <c r="E19" s="437"/>
      <c r="F19" s="438"/>
      <c r="G19" s="439"/>
      <c r="H19" s="440"/>
      <c r="I19" s="440"/>
      <c r="J19" s="440"/>
      <c r="K19" s="440"/>
      <c r="L19" s="440"/>
      <c r="M19" s="440"/>
      <c r="N19" s="440"/>
      <c r="O19" s="440"/>
      <c r="P19" s="440"/>
      <c r="Q19" s="440"/>
      <c r="R19" s="440"/>
      <c r="S19" s="440"/>
      <c r="T19" s="440"/>
      <c r="U19" s="440"/>
      <c r="V19" s="440"/>
      <c r="W19" s="440"/>
      <c r="X19" s="440"/>
      <c r="Y19" s="440"/>
      <c r="Z19" s="440"/>
    </row>
  </sheetData>
  <mergeCells count="67">
    <mergeCell ref="A4:C8"/>
    <mergeCell ref="D4:E4"/>
    <mergeCell ref="F4:G4"/>
    <mergeCell ref="D5:E5"/>
    <mergeCell ref="F5:G5"/>
    <mergeCell ref="D6:E6"/>
    <mergeCell ref="F6:G6"/>
    <mergeCell ref="D7:E7"/>
    <mergeCell ref="F7:G7"/>
    <mergeCell ref="D8:E8"/>
    <mergeCell ref="F8:G8"/>
    <mergeCell ref="A1:C3"/>
    <mergeCell ref="D1:E3"/>
    <mergeCell ref="F1:Z1"/>
    <mergeCell ref="F2:J2"/>
    <mergeCell ref="K2:Q2"/>
    <mergeCell ref="R2:V2"/>
    <mergeCell ref="W2:Z2"/>
    <mergeCell ref="F3:G3"/>
    <mergeCell ref="A12:C12"/>
    <mergeCell ref="D12:E12"/>
    <mergeCell ref="F12:G12"/>
    <mergeCell ref="A9:C11"/>
    <mergeCell ref="D9:E9"/>
    <mergeCell ref="F9:G9"/>
    <mergeCell ref="D10:E10"/>
    <mergeCell ref="F10:G10"/>
    <mergeCell ref="D11:E11"/>
    <mergeCell ref="F11:G11"/>
    <mergeCell ref="A13:C13"/>
    <mergeCell ref="D13:E13"/>
    <mergeCell ref="F13:G13"/>
    <mergeCell ref="R14:R15"/>
    <mergeCell ref="S14:S15"/>
    <mergeCell ref="T14:T15"/>
    <mergeCell ref="U14:U15"/>
    <mergeCell ref="J14:J15"/>
    <mergeCell ref="K14:K15"/>
    <mergeCell ref="L14:L15"/>
    <mergeCell ref="M14:M15"/>
    <mergeCell ref="N14:N15"/>
    <mergeCell ref="O14:O15"/>
    <mergeCell ref="A16:C16"/>
    <mergeCell ref="D16:E16"/>
    <mergeCell ref="F16:G16"/>
    <mergeCell ref="P14:P15"/>
    <mergeCell ref="Q14:Q15"/>
    <mergeCell ref="A14:C15"/>
    <mergeCell ref="D14:E14"/>
    <mergeCell ref="D15:E15"/>
    <mergeCell ref="F14:G15"/>
    <mergeCell ref="H14:H15"/>
    <mergeCell ref="I14:I15"/>
    <mergeCell ref="V14:V15"/>
    <mergeCell ref="W14:W15"/>
    <mergeCell ref="X14:X15"/>
    <mergeCell ref="Y14:Y15"/>
    <mergeCell ref="Z14:Z15"/>
    <mergeCell ref="C19:D19"/>
    <mergeCell ref="E19:F19"/>
    <mergeCell ref="G19:Z19"/>
    <mergeCell ref="C17:D17"/>
    <mergeCell ref="E17:F17"/>
    <mergeCell ref="G17:Z17"/>
    <mergeCell ref="C18:D18"/>
    <mergeCell ref="E18:F18"/>
    <mergeCell ref="G18:Z1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/>
  <dimension ref="A1:U21"/>
  <sheetViews>
    <sheetView zoomScale="81" workbookViewId="0">
      <selection activeCell="A6" sqref="A6"/>
    </sheetView>
  </sheetViews>
  <sheetFormatPr defaultColWidth="11.453125" defaultRowHeight="14.5"/>
  <cols>
    <col min="1" max="1" width="28.54296875" style="17" customWidth="1"/>
    <col min="2" max="2" width="7.81640625" style="17" customWidth="1"/>
    <col min="3" max="3" width="4.26953125" style="17" customWidth="1"/>
    <col min="4" max="4" width="22" style="17" customWidth="1"/>
    <col min="5" max="5" width="8.7265625" style="17" customWidth="1"/>
    <col min="6" max="6" width="4.26953125" style="17" customWidth="1"/>
    <col min="7" max="7" width="14.1796875" style="17" customWidth="1"/>
    <col min="8" max="8" width="7.7265625" style="17" customWidth="1"/>
    <col min="9" max="9" width="7.453125" style="17" customWidth="1"/>
    <col min="10" max="10" width="16.81640625" style="17" customWidth="1"/>
    <col min="11" max="11" width="15.81640625" style="17" customWidth="1"/>
    <col min="12" max="12" width="6.7265625" style="17" customWidth="1"/>
    <col min="13" max="13" width="11.453125" style="17"/>
    <col min="14" max="14" width="7.81640625" style="17" customWidth="1"/>
    <col min="15" max="15" width="13.26953125" style="17" customWidth="1"/>
    <col min="16" max="16" width="21.453125" style="17" customWidth="1"/>
    <col min="17" max="17" width="8" style="17" customWidth="1"/>
    <col min="18" max="18" width="19.26953125" style="17" customWidth="1"/>
    <col min="19" max="16384" width="11.453125" style="17"/>
  </cols>
  <sheetData>
    <row r="1" spans="1:21" ht="36">
      <c r="C1" s="18" t="s">
        <v>51</v>
      </c>
      <c r="D1" s="18"/>
      <c r="E1" s="18"/>
      <c r="F1" s="18"/>
    </row>
    <row r="2" spans="1:21" ht="29">
      <c r="A2" s="523" t="s">
        <v>121</v>
      </c>
      <c r="B2" s="524"/>
      <c r="D2" s="3" t="s">
        <v>52</v>
      </c>
      <c r="E2" s="3" t="s">
        <v>47</v>
      </c>
      <c r="G2" s="3" t="s">
        <v>56</v>
      </c>
      <c r="H2" s="3" t="s">
        <v>47</v>
      </c>
      <c r="J2" s="4" t="s">
        <v>127</v>
      </c>
      <c r="L2" s="3" t="s">
        <v>132</v>
      </c>
      <c r="M2" s="3" t="s">
        <v>126</v>
      </c>
      <c r="O2" s="3" t="s">
        <v>133</v>
      </c>
      <c r="P2" s="3" t="s">
        <v>134</v>
      </c>
      <c r="R2" s="527" t="s">
        <v>140</v>
      </c>
      <c r="S2" s="527"/>
      <c r="T2" s="527"/>
      <c r="U2" s="527"/>
    </row>
    <row r="3" spans="1:21" ht="24.75" customHeight="1">
      <c r="A3" s="3" t="s">
        <v>46</v>
      </c>
      <c r="B3" s="3" t="s">
        <v>47</v>
      </c>
      <c r="D3" s="4" t="s">
        <v>53</v>
      </c>
      <c r="E3" s="4">
        <v>0</v>
      </c>
      <c r="G3" s="4" t="s">
        <v>57</v>
      </c>
      <c r="H3" s="4" t="s">
        <v>217</v>
      </c>
      <c r="J3" s="26" t="s">
        <v>122</v>
      </c>
      <c r="L3" s="4" t="s">
        <v>217</v>
      </c>
      <c r="M3" s="4" t="s">
        <v>61</v>
      </c>
      <c r="O3" s="4">
        <v>0</v>
      </c>
      <c r="P3" s="4" t="s">
        <v>129</v>
      </c>
      <c r="R3" s="528" t="s">
        <v>141</v>
      </c>
      <c r="S3" s="529"/>
      <c r="T3" s="529"/>
      <c r="U3" s="530"/>
    </row>
    <row r="4" spans="1:21" ht="30" customHeight="1">
      <c r="A4" s="4" t="s">
        <v>48</v>
      </c>
      <c r="B4" s="4">
        <v>0</v>
      </c>
      <c r="D4" s="4" t="s">
        <v>54</v>
      </c>
      <c r="E4" s="4">
        <v>1</v>
      </c>
      <c r="G4" s="4" t="s">
        <v>58</v>
      </c>
      <c r="H4" s="4" t="s">
        <v>214</v>
      </c>
      <c r="J4" s="27" t="s">
        <v>123</v>
      </c>
      <c r="L4" s="102" t="s">
        <v>218</v>
      </c>
      <c r="M4" s="4" t="s">
        <v>62</v>
      </c>
      <c r="O4" s="4" t="s">
        <v>135</v>
      </c>
      <c r="P4" s="4" t="s">
        <v>61</v>
      </c>
      <c r="R4" s="531" t="s">
        <v>142</v>
      </c>
      <c r="S4" s="532"/>
      <c r="T4" s="532"/>
      <c r="U4" s="533"/>
    </row>
    <row r="5" spans="1:21" ht="45" customHeight="1">
      <c r="A5" s="4" t="s">
        <v>49</v>
      </c>
      <c r="B5" s="4">
        <v>1</v>
      </c>
      <c r="D5" s="4" t="s">
        <v>55</v>
      </c>
      <c r="E5" s="4">
        <v>2</v>
      </c>
      <c r="G5" s="4" t="s">
        <v>59</v>
      </c>
      <c r="H5" s="4" t="s">
        <v>215</v>
      </c>
      <c r="J5" s="27" t="s">
        <v>124</v>
      </c>
      <c r="L5" s="102">
        <v>45689</v>
      </c>
      <c r="M5" s="4" t="s">
        <v>120</v>
      </c>
      <c r="O5" s="4" t="s">
        <v>136</v>
      </c>
      <c r="P5" s="4" t="s">
        <v>137</v>
      </c>
      <c r="R5" s="534" t="s">
        <v>143</v>
      </c>
      <c r="S5" s="535"/>
      <c r="T5" s="535"/>
      <c r="U5" s="536"/>
    </row>
    <row r="6" spans="1:21" ht="43.5" customHeight="1">
      <c r="A6" s="4" t="s">
        <v>50</v>
      </c>
      <c r="B6" s="4">
        <v>2</v>
      </c>
      <c r="G6" s="4" t="s">
        <v>60</v>
      </c>
      <c r="H6" s="4" t="s">
        <v>216</v>
      </c>
      <c r="L6" s="103"/>
      <c r="M6" s="104"/>
      <c r="O6" s="4" t="s">
        <v>138</v>
      </c>
      <c r="P6" s="4" t="s">
        <v>139</v>
      </c>
      <c r="R6" s="537" t="s">
        <v>144</v>
      </c>
      <c r="S6" s="538"/>
      <c r="T6" s="538"/>
      <c r="U6" s="539"/>
    </row>
    <row r="7" spans="1:21" ht="42.75" customHeight="1" thickBot="1">
      <c r="J7"/>
      <c r="R7" s="28"/>
    </row>
    <row r="8" spans="1:21" ht="41.25" customHeight="1">
      <c r="A8" s="525" t="s">
        <v>100</v>
      </c>
      <c r="B8" s="525"/>
      <c r="D8" s="3" t="s">
        <v>101</v>
      </c>
      <c r="E8" s="3" t="s">
        <v>93</v>
      </c>
      <c r="M8" s="23"/>
      <c r="N8" s="23"/>
      <c r="S8" s="113" t="s">
        <v>0</v>
      </c>
      <c r="T8" s="29" t="s">
        <v>1</v>
      </c>
      <c r="U8" s="114" t="s">
        <v>230</v>
      </c>
    </row>
    <row r="9" spans="1:21" ht="39.75" customHeight="1">
      <c r="A9" s="3" t="s">
        <v>92</v>
      </c>
      <c r="B9" s="3" t="s">
        <v>93</v>
      </c>
      <c r="D9" s="4" t="s">
        <v>102</v>
      </c>
      <c r="E9" s="4">
        <v>0</v>
      </c>
      <c r="G9" s="3" t="s">
        <v>92</v>
      </c>
      <c r="H9" s="3" t="s">
        <v>47</v>
      </c>
      <c r="J9" s="3" t="s">
        <v>91</v>
      </c>
      <c r="K9" s="3" t="s">
        <v>105</v>
      </c>
      <c r="L9" s="3" t="s">
        <v>93</v>
      </c>
      <c r="M9" s="24"/>
      <c r="N9" s="25"/>
      <c r="S9" s="115" t="s">
        <v>90</v>
      </c>
      <c r="T9" s="4" t="s">
        <v>231</v>
      </c>
      <c r="U9" s="116" t="s">
        <v>232</v>
      </c>
    </row>
    <row r="10" spans="1:21" ht="42.75" customHeight="1">
      <c r="A10" s="15" t="s">
        <v>94</v>
      </c>
      <c r="B10" s="4">
        <v>0</v>
      </c>
      <c r="D10" s="4" t="s">
        <v>117</v>
      </c>
      <c r="E10" s="4">
        <v>1</v>
      </c>
      <c r="G10" s="15" t="s">
        <v>129</v>
      </c>
      <c r="H10" s="15">
        <v>0</v>
      </c>
      <c r="J10" s="4" t="s">
        <v>106</v>
      </c>
      <c r="K10" s="4" t="s">
        <v>107</v>
      </c>
      <c r="L10" s="4">
        <v>0</v>
      </c>
      <c r="M10" s="24"/>
      <c r="N10" s="25"/>
      <c r="S10" s="115" t="s">
        <v>233</v>
      </c>
      <c r="T10" s="4" t="s">
        <v>234</v>
      </c>
      <c r="U10" s="116" t="s">
        <v>235</v>
      </c>
    </row>
    <row r="11" spans="1:21" ht="57" customHeight="1">
      <c r="A11" s="15" t="s">
        <v>95</v>
      </c>
      <c r="B11" s="4">
        <v>1</v>
      </c>
      <c r="D11" s="4" t="s">
        <v>118</v>
      </c>
      <c r="E11" s="4">
        <v>2</v>
      </c>
      <c r="G11" s="15" t="s">
        <v>128</v>
      </c>
      <c r="H11" s="15">
        <v>0.7</v>
      </c>
      <c r="J11" s="4" t="s">
        <v>108</v>
      </c>
      <c r="K11" s="4" t="s">
        <v>109</v>
      </c>
      <c r="L11" s="4">
        <v>1</v>
      </c>
      <c r="M11" s="24"/>
      <c r="N11" s="25"/>
      <c r="S11" s="115" t="s">
        <v>85</v>
      </c>
      <c r="T11" s="4" t="s">
        <v>236</v>
      </c>
      <c r="U11" s="116" t="s">
        <v>237</v>
      </c>
    </row>
    <row r="12" spans="1:21" ht="56.25" customHeight="1" thickBot="1">
      <c r="A12" s="15" t="s">
        <v>96</v>
      </c>
      <c r="B12" s="4">
        <v>2</v>
      </c>
      <c r="D12" s="4" t="s">
        <v>103</v>
      </c>
      <c r="E12" s="4">
        <v>3</v>
      </c>
      <c r="G12" s="15" t="s">
        <v>130</v>
      </c>
      <c r="H12" s="15">
        <v>1.3</v>
      </c>
      <c r="J12" s="4" t="s">
        <v>110</v>
      </c>
      <c r="K12" s="4" t="s">
        <v>111</v>
      </c>
      <c r="L12" s="4">
        <v>2</v>
      </c>
      <c r="M12" s="526"/>
      <c r="N12" s="526"/>
      <c r="S12" s="117" t="s">
        <v>207</v>
      </c>
      <c r="T12" s="19" t="s">
        <v>238</v>
      </c>
      <c r="U12" s="118" t="s">
        <v>239</v>
      </c>
    </row>
    <row r="13" spans="1:21" ht="57.75" customHeight="1">
      <c r="A13" s="15" t="s">
        <v>97</v>
      </c>
      <c r="B13" s="4">
        <v>3</v>
      </c>
      <c r="D13" s="4" t="s">
        <v>104</v>
      </c>
      <c r="E13" s="4">
        <v>4</v>
      </c>
      <c r="G13" s="15" t="s">
        <v>131</v>
      </c>
      <c r="H13" s="15">
        <v>2</v>
      </c>
      <c r="J13" s="4" t="s">
        <v>112</v>
      </c>
      <c r="K13" s="4" t="s">
        <v>113</v>
      </c>
      <c r="L13" s="4">
        <v>3</v>
      </c>
    </row>
    <row r="14" spans="1:21" ht="69" customHeight="1">
      <c r="A14" s="15" t="s">
        <v>98</v>
      </c>
      <c r="B14" s="4">
        <v>4</v>
      </c>
      <c r="J14" s="4" t="s">
        <v>114</v>
      </c>
      <c r="K14" s="4" t="s">
        <v>115</v>
      </c>
      <c r="L14" s="4">
        <v>4</v>
      </c>
    </row>
    <row r="15" spans="1:21" ht="60" customHeight="1">
      <c r="A15" s="15" t="s">
        <v>99</v>
      </c>
      <c r="B15" s="4">
        <v>5</v>
      </c>
    </row>
    <row r="19" spans="10:10">
      <c r="J19" s="17" t="s">
        <v>87</v>
      </c>
    </row>
    <row r="21" spans="10:10">
      <c r="J21" s="17" t="s">
        <v>88</v>
      </c>
    </row>
  </sheetData>
  <mergeCells count="8">
    <mergeCell ref="A2:B2"/>
    <mergeCell ref="A8:B8"/>
    <mergeCell ref="M12:N12"/>
    <mergeCell ref="R2:U2"/>
    <mergeCell ref="R3:U3"/>
    <mergeCell ref="R4:U4"/>
    <mergeCell ref="R5:U5"/>
    <mergeCell ref="R6:U6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PRE construction</vt:lpstr>
      <vt:lpstr>Réalisation</vt:lpstr>
      <vt:lpstr>Exploitation</vt:lpstr>
      <vt:lpstr>Démantalement  </vt:lpstr>
      <vt:lpstr>matrice d'impacts</vt:lpstr>
      <vt:lpstr>Sheet1</vt:lpstr>
      <vt:lpstr>Echelles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Alaoui Sosse, Jihad</dc:creator>
  <cp:lastModifiedBy>Alaoui Sosse, Jihad</cp:lastModifiedBy>
  <cp:lastPrinted>2025-09-04T12:56:22Z</cp:lastPrinted>
  <dcterms:created xsi:type="dcterms:W3CDTF">2025-07-14T10:51:30Z</dcterms:created>
  <dcterms:modified xsi:type="dcterms:W3CDTF">2026-02-06T09:55:47Z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c1a4d7b-7f94-44ed-a9ae-6b3baf304ed9_Enabled">
    <vt:lpwstr>true</vt:lpwstr>
  </property>
  <property fmtid="{D5CDD505-2E9C-101B-9397-08002B2CF9AE}" pid="3" name="MSIP_Label_6c1a4d7b-7f94-44ed-a9ae-6b3baf304ed9_SetDate">
    <vt:lpwstr>2025-09-26T16:49:42Z</vt:lpwstr>
  </property>
  <property fmtid="{D5CDD505-2E9C-101B-9397-08002B2CF9AE}" pid="4" name="MSIP_Label_6c1a4d7b-7f94-44ed-a9ae-6b3baf304ed9_Method">
    <vt:lpwstr>Privileged</vt:lpwstr>
  </property>
  <property fmtid="{D5CDD505-2E9C-101B-9397-08002B2CF9AE}" pid="5" name="MSIP_Label_6c1a4d7b-7f94-44ed-a9ae-6b3baf304ed9_Name">
    <vt:lpwstr>PUBLIC</vt:lpwstr>
  </property>
  <property fmtid="{D5CDD505-2E9C-101B-9397-08002B2CF9AE}" pid="6" name="MSIP_Label_6c1a4d7b-7f94-44ed-a9ae-6b3baf304ed9_SiteId">
    <vt:lpwstr>a8db50fa-2787-462c-a2d7-fd8a77b78714</vt:lpwstr>
  </property>
  <property fmtid="{D5CDD505-2E9C-101B-9397-08002B2CF9AE}" pid="7" name="MSIP_Label_6c1a4d7b-7f94-44ed-a9ae-6b3baf304ed9_ActionId">
    <vt:lpwstr>ff4a60d4-a457-436b-80db-01daa8fe7f1f</vt:lpwstr>
  </property>
  <property fmtid="{D5CDD505-2E9C-101B-9397-08002B2CF9AE}" pid="8" name="MSIP_Label_6c1a4d7b-7f94-44ed-a9ae-6b3baf304ed9_ContentBits">
    <vt:lpwstr>0</vt:lpwstr>
  </property>
  <property fmtid="{D5CDD505-2E9C-101B-9397-08002B2CF9AE}" pid="9" name="MSIP_Label_6c1a4d7b-7f94-44ed-a9ae-6b3baf304ed9_Tag">
    <vt:lpwstr>10, 0, 1, 1</vt:lpwstr>
  </property>
</Properties>
</file>